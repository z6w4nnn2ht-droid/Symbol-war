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怪物" sheetId="1" state="visible" r:id="rId3"/>
    <sheet name="装备" sheetId="2" state="visible" r:id="rId4"/>
    <sheet name="地图" sheetId="3" state="visible" r:id="rId5"/>
    <sheet name="稀有度" sheetId="4" state="visible" r:id="rId6"/>
  </sheets>
  <definedNames>
    <definedName function="false" hidden="true" localSheetId="0" name="_xlnm._FilterDatabase" vbProcedure="false">怪物!$A$1:$Y$29</definedName>
    <definedName function="false" hidden="true" localSheetId="1" name="_xlnm._FilterDatabase" vbProcedure="false">装备!$A$1:$Q$63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<sst xmlns="http://schemas.openxmlformats.org/spreadsheetml/2006/main" count="607" uniqueCount="340">
  <si>
    <t xml:space="preserve">符号</t>
  </si>
  <si>
    <t xml:space="preserve">名称</t>
  </si>
  <si>
    <t xml:space="preserve">基础血量</t>
  </si>
  <si>
    <t xml:space="preserve">速度</t>
  </si>
  <si>
    <t xml:space="preserve">体型半径</t>
  </si>
  <si>
    <t xml:space="preserve">类型</t>
  </si>
  <si>
    <t xml:space="preserve">射击</t>
  </si>
  <si>
    <t xml:space="preserve">喷射式子</t>
  </si>
  <si>
    <t xml:space="preserve">带毒</t>
  </si>
  <si>
    <t xml:space="preserve">瞬移</t>
  </si>
  <si>
    <t xml:space="preserve">冲刺</t>
  </si>
  <si>
    <t xml:space="preserve">死后分裂</t>
  </si>
  <si>
    <t xml:space="preserve">描述</t>
  </si>
  <si>
    <t xml:space="preserve">掉落卡片</t>
  </si>
  <si>
    <t xml:space="preserve">出现地图</t>
  </si>
  <si>
    <t xml:space="preserve">普通血量</t>
  </si>
  <si>
    <t xml:space="preserve">罕见血量</t>
  </si>
  <si>
    <t xml:space="preserve">稀有血量</t>
  </si>
  <si>
    <t xml:space="preserve">史诗血量</t>
  </si>
  <si>
    <t xml:space="preserve">传说血量</t>
  </si>
  <si>
    <t xml:space="preserve">神话血量</t>
  </si>
  <si>
    <t xml:space="preserve">超级血量</t>
  </si>
  <si>
    <t xml:space="preserve">究极血量</t>
  </si>
  <si>
    <t xml:space="preserve">永恒血量</t>
  </si>
  <si>
    <t xml:space="preserve">唯一血量</t>
  </si>
  <si>
    <t xml:space="preserve">π</t>
  </si>
  <si>
    <t xml:space="preserve">圆周率</t>
  </si>
  <si>
    <t xml:space="preserve">普通</t>
  </si>
  <si>
    <t xml:space="preserve">最常见的入门怪，追着你跑。</t>
  </si>
  <si>
    <t xml:space="preserve">花园</t>
  </si>
  <si>
    <t xml:space="preserve">√</t>
  </si>
  <si>
    <t xml:space="preserve">平方根</t>
  </si>
  <si>
    <t xml:space="preserve">速度稍快的追击怪。</t>
  </si>
  <si>
    <t xml:space="preserve">花园、沙漠</t>
  </si>
  <si>
    <t xml:space="preserve">∞</t>
  </si>
  <si>
    <t xml:space="preserve">无穷</t>
  </si>
  <si>
    <t xml:space="preserve">蛇形走位逼近，难以预判。</t>
  </si>
  <si>
    <t xml:space="preserve">沙漠、洞窟、冰原</t>
  </si>
  <si>
    <t xml:space="preserve">∑</t>
  </si>
  <si>
    <t xml:space="preserve">求和</t>
  </si>
  <si>
    <t xml:space="preserve">✓</t>
  </si>
  <si>
    <t xml:space="preserve">k²</t>
  </si>
  <si>
    <t xml:space="preserve">体型大、血量厚、移动缓慢。走近时，会把右边的式子朝你喷射出去。</t>
  </si>
  <si>
    <t xml:space="preserve">洞窟、深渊、熔岩、虚空、地狱蚁穴</t>
  </si>
  <si>
    <t xml:space="preserve">i</t>
  </si>
  <si>
    <t xml:space="preserve">虚数单位</t>
  </si>
  <si>
    <t xml:space="preserve">会定时瞬移到你附近。</t>
  </si>
  <si>
    <t xml:space="preserve">沙漠、深渊、虚空</t>
  </si>
  <si>
    <t xml:space="preserve">!</t>
  </si>
  <si>
    <t xml:space="preserve">阶乘</t>
  </si>
  <si>
    <r>
      <rPr>
        <sz val="10"/>
        <rFont val="Noto Sans CJK SC"/>
        <family val="2"/>
      </rPr>
      <t xml:space="preserve">死后分裂成两个小 </t>
    </r>
    <r>
      <rPr>
        <sz val="10"/>
        <rFont val="Arial"/>
        <family val="0"/>
        <charset val="1"/>
      </rPr>
      <t xml:space="preserve">π</t>
    </r>
    <r>
      <rPr>
        <sz val="10"/>
        <rFont val="Noto Sans CJK SC"/>
        <family val="2"/>
      </rPr>
      <t xml:space="preserve">。</t>
    </r>
  </si>
  <si>
    <t xml:space="preserve">洞窟、深渊、熔岩</t>
  </si>
  <si>
    <t xml:space="preserve">φ</t>
  </si>
  <si>
    <t xml:space="preserve">黄金比例</t>
  </si>
  <si>
    <t xml:space="preserve">定时发起三倍速的冲刺。</t>
  </si>
  <si>
    <t xml:space="preserve">洞窟、深渊、熔岩、虚空</t>
  </si>
  <si>
    <t xml:space="preserve">Ω</t>
  </si>
  <si>
    <t xml:space="preserve">欧米伽</t>
  </si>
  <si>
    <t xml:space="preserve">Boss</t>
  </si>
  <si>
    <t xml:space="preserve">Ω=∞</t>
  </si>
  <si>
    <r>
      <rPr>
        <sz val="10"/>
        <rFont val="Arial"/>
        <family val="0"/>
        <charset val="1"/>
      </rPr>
      <t xml:space="preserve">Boss</t>
    </r>
    <r>
      <rPr>
        <sz val="10"/>
        <rFont val="Noto Sans CJK SC"/>
        <family val="2"/>
      </rPr>
      <t xml:space="preserve">，血量极厚，会发射三连弹。</t>
    </r>
  </si>
  <si>
    <t xml:space="preserve">深渊、虚空、地狱蚁穴</t>
  </si>
  <si>
    <t xml:space="preserve">e</t>
  </si>
  <si>
    <t xml:space="preserve">自然常数</t>
  </si>
  <si>
    <t xml:space="preserve">体型小、速度极快。</t>
  </si>
  <si>
    <t xml:space="preserve">花园、冰原</t>
  </si>
  <si>
    <t xml:space="preserve">ε</t>
  </si>
  <si>
    <t xml:space="preserve">无穷小</t>
  </si>
  <si>
    <t xml:space="preserve">成群出现的极小怪，速度很快。</t>
  </si>
  <si>
    <t xml:space="preserve">沙漠、冰原</t>
  </si>
  <si>
    <t xml:space="preserve">ζ</t>
  </si>
  <si>
    <r>
      <rPr>
        <sz val="10"/>
        <rFont val="Noto Sans CJK SC"/>
        <family val="2"/>
      </rPr>
      <t xml:space="preserve">黎曼</t>
    </r>
    <r>
      <rPr>
        <sz val="10"/>
        <rFont val="Arial"/>
        <family val="0"/>
        <charset val="1"/>
      </rPr>
      <t xml:space="preserve">ζ</t>
    </r>
  </si>
  <si>
    <t xml:space="preserve">ζ(2)</t>
  </si>
  <si>
    <t xml:space="preserve">血量很厚的重装怪。带毒：接触会让你持续中毒。</t>
  </si>
  <si>
    <t xml:space="preserve">洞窟、冰原、熔岩</t>
  </si>
  <si>
    <t xml:space="preserve">∏</t>
  </si>
  <si>
    <t xml:space="preserve">连乘</t>
  </si>
  <si>
    <t xml:space="preserve">k+1</t>
  </si>
  <si>
    <r>
      <rPr>
        <sz val="10"/>
        <rFont val="Noto Sans CJK SC"/>
        <family val="2"/>
      </rPr>
      <t xml:space="preserve">血厚，死后分裂成两个小 </t>
    </r>
    <r>
      <rPr>
        <sz val="10"/>
        <rFont val="Arial"/>
        <family val="0"/>
        <charset val="1"/>
      </rPr>
      <t xml:space="preserve">π</t>
    </r>
    <r>
      <rPr>
        <sz val="10"/>
        <rFont val="Noto Sans CJK SC"/>
        <family val="2"/>
      </rPr>
      <t xml:space="preserve">。带毒：接触会让你持续中毒。</t>
    </r>
  </si>
  <si>
    <t xml:space="preserve">深渊、冰原、熔岩、虚空、地狱蚁穴</t>
  </si>
  <si>
    <t xml:space="preserve">Ψ</t>
  </si>
  <si>
    <t xml:space="preserve">波函数</t>
  </si>
  <si>
    <t xml:space="preserve">Ψ(x,t)</t>
  </si>
  <si>
    <t xml:space="preserve">熔岩、虚空、地狱蚁穴</t>
  </si>
  <si>
    <t xml:space="preserve">∇</t>
  </si>
  <si>
    <t xml:space="preserve">梯度</t>
  </si>
  <si>
    <t xml:space="preserve">∇·F</t>
  </si>
  <si>
    <r>
      <rPr>
        <sz val="10"/>
        <rFont val="Arial"/>
        <family val="0"/>
        <charset val="1"/>
      </rPr>
      <t xml:space="preserve">Boss</t>
    </r>
    <r>
      <rPr>
        <sz val="10"/>
        <rFont val="Noto Sans CJK SC"/>
        <family val="2"/>
      </rPr>
      <t xml:space="preserve">，越靠近你越快，会发射三连弹。</t>
    </r>
  </si>
  <si>
    <t xml:space="preserve">虚空、地狱蚁穴</t>
  </si>
  <si>
    <t xml:space="preserve">lim</t>
  </si>
  <si>
    <t xml:space="preserve">极限</t>
  </si>
  <si>
    <t xml:space="preserve">x→0</t>
  </si>
  <si>
    <t xml:space="preserve">会射击，靠近你时速度逐渐放慢。</t>
  </si>
  <si>
    <t xml:space="preserve">洞窟、深渊、地狱蚁穴</t>
  </si>
  <si>
    <t xml:space="preserve">f′</t>
  </si>
  <si>
    <t xml:space="preserve">导函数</t>
  </si>
  <si>
    <t xml:space="preserve">血量越低越狂暴。</t>
  </si>
  <si>
    <t xml:space="preserve">洞窟、熔岩、地狱蚁穴</t>
  </si>
  <si>
    <t xml:space="preserve">[ ]</t>
  </si>
  <si>
    <t xml:space="preserve">矩阵</t>
  </si>
  <si>
    <r>
      <rPr>
        <sz val="10"/>
        <rFont val="Noto Sans CJK SC"/>
        <family val="2"/>
      </rPr>
      <t xml:space="preserve">血厚，死后分裂成两个小 </t>
    </r>
    <r>
      <rPr>
        <sz val="10"/>
        <rFont val="Arial"/>
        <family val="0"/>
        <charset val="1"/>
      </rPr>
      <t xml:space="preserve">π</t>
    </r>
    <r>
      <rPr>
        <sz val="10"/>
        <rFont val="Noto Sans CJK SC"/>
        <family val="2"/>
      </rPr>
      <t xml:space="preserve">。</t>
    </r>
  </si>
  <si>
    <t xml:space="preserve">深渊、熔岩、地狱蚁穴</t>
  </si>
  <si>
    <t xml:space="preserve">v⃗</t>
  </si>
  <si>
    <t xml:space="preserve">向量</t>
  </si>
  <si>
    <t xml:space="preserve">定时冲刺的突击怪。</t>
  </si>
  <si>
    <t xml:space="preserve">洞窟、虚空、地狱蚁穴</t>
  </si>
  <si>
    <t xml:space="preserve">P(A)</t>
  </si>
  <si>
    <t xml:space="preserve">概率</t>
  </si>
  <si>
    <t xml:space="preserve">P=.3</t>
  </si>
  <si>
    <t xml:space="preserve">会射击，并且定时瞬移。</t>
  </si>
  <si>
    <t xml:space="preserve">σ</t>
  </si>
  <si>
    <t xml:space="preserve">标准差</t>
  </si>
  <si>
    <t xml:space="preserve">σ²</t>
  </si>
  <si>
    <t xml:space="preserve">会射击的中速怪。</t>
  </si>
  <si>
    <t xml:space="preserve">沙漠</t>
  </si>
  <si>
    <t xml:space="preserve">μ</t>
  </si>
  <si>
    <t xml:space="preserve">均值</t>
  </si>
  <si>
    <t xml:space="preserve">μ±σ</t>
  </si>
  <si>
    <t xml:space="preserve">会射击的稳健怪。带毒：接触会让你持续中毒。</t>
  </si>
  <si>
    <t xml:space="preserve">冰原</t>
  </si>
  <si>
    <t xml:space="preserve">ℝ</t>
  </si>
  <si>
    <t xml:space="preserve">实数集</t>
  </si>
  <si>
    <t xml:space="preserve">血厚的重装怪。</t>
  </si>
  <si>
    <t xml:space="preserve">ℕ</t>
  </si>
  <si>
    <t xml:space="preserve">自然数集</t>
  </si>
  <si>
    <t xml:space="preserve">成群出现的怪物。</t>
  </si>
  <si>
    <t xml:space="preserve">ℂ</t>
  </si>
  <si>
    <t xml:space="preserve">复数集</t>
  </si>
  <si>
    <t xml:space="preserve">会定时瞬移。</t>
  </si>
  <si>
    <t xml:space="preserve">δ</t>
  </si>
  <si>
    <t xml:space="preserve">德尔塔</t>
  </si>
  <si>
    <t xml:space="preserve">极小的高速怪，成群出现。带毒：接触会让你持续中毒。</t>
  </si>
  <si>
    <t xml:space="preserve">ln</t>
  </si>
  <si>
    <t xml:space="preserve">自然对数</t>
  </si>
  <si>
    <t xml:space="preserve">ln x</t>
  </si>
  <si>
    <t xml:space="preserve">靠近你时会放慢脚步，并会远程射击。带毒：接触会让你持续中毒。</t>
  </si>
  <si>
    <t xml:space="preserve">Λ</t>
  </si>
  <si>
    <t xml:space="preserve">逻辑与</t>
  </si>
  <si>
    <t xml:space="preserve">既会瞬移，也会突然冲刺。</t>
  </si>
  <si>
    <t xml:space="preserve">Ø</t>
  </si>
  <si>
    <t xml:space="preserve">空集</t>
  </si>
  <si>
    <t xml:space="preserve">血厚体大，死后会分裂。</t>
  </si>
  <si>
    <t xml:space="preserve">熔岩、虚空</t>
  </si>
  <si>
    <r>
      <rPr>
        <i val="true"/>
        <sz val="10"/>
        <color rgb="FF555555"/>
        <rFont val="Noto Sans CJK SC"/>
        <family val="2"/>
      </rPr>
      <t xml:space="preserve">血量列 </t>
    </r>
    <r>
      <rPr>
        <i val="true"/>
        <sz val="10"/>
        <color rgb="FF555555"/>
        <rFont val="Arial"/>
        <family val="0"/>
        <charset val="1"/>
      </rPr>
      <t xml:space="preserve">= </t>
    </r>
    <r>
      <rPr>
        <i val="true"/>
        <sz val="10"/>
        <color rgb="FF555555"/>
        <rFont val="Noto Sans CJK SC"/>
        <family val="2"/>
      </rPr>
      <t xml:space="preserve">基础血量 </t>
    </r>
    <r>
      <rPr>
        <i val="true"/>
        <sz val="10"/>
        <color rgb="FF555555"/>
        <rFont val="Arial"/>
        <family val="0"/>
        <charset val="1"/>
      </rPr>
      <t xml:space="preserve">× </t>
    </r>
    <r>
      <rPr>
        <i val="true"/>
        <sz val="10"/>
        <color rgb="FF555555"/>
        <rFont val="Noto Sans CJK SC"/>
        <family val="2"/>
      </rPr>
      <t xml:space="preserve">怪物基础血量倍数 </t>
    </r>
    <r>
      <rPr>
        <i val="true"/>
        <sz val="10"/>
        <color rgb="FF555555"/>
        <rFont val="Arial"/>
        <family val="0"/>
        <charset val="1"/>
      </rPr>
      <t xml:space="preserve">× </t>
    </r>
    <r>
      <rPr>
        <i val="true"/>
        <sz val="10"/>
        <color rgb="FF555555"/>
        <rFont val="Noto Sans CJK SC"/>
        <family val="2"/>
      </rPr>
      <t xml:space="preserve">该稀有度的血量倍率（见「稀有度」表），未计入地图难度加成。</t>
    </r>
  </si>
  <si>
    <t xml:space="preserve">序号</t>
  </si>
  <si>
    <t xml:space="preserve">分类</t>
  </si>
  <si>
    <t xml:space="preserve">基础伤害</t>
  </si>
  <si>
    <t xml:space="preserve">生效方式</t>
  </si>
  <si>
    <t xml:space="preserve">效果</t>
  </si>
  <si>
    <t xml:space="preserve">普通伤害</t>
  </si>
  <si>
    <t xml:space="preserve">罕见伤害</t>
  </si>
  <si>
    <t xml:space="preserve">稀有伤害</t>
  </si>
  <si>
    <t xml:space="preserve">史诗伤害</t>
  </si>
  <si>
    <t xml:space="preserve">传说伤害</t>
  </si>
  <si>
    <t xml:space="preserve">神话伤害</t>
  </si>
  <si>
    <t xml:space="preserve">超级伤害</t>
  </si>
  <si>
    <t xml:space="preserve">究极伤害</t>
  </si>
  <si>
    <t xml:space="preserve">永恒伤害</t>
  </si>
  <si>
    <t xml:space="preserve">唯一伤害</t>
  </si>
  <si>
    <t xml:space="preserve">+</t>
  </si>
  <si>
    <t xml:space="preserve">加</t>
  </si>
  <si>
    <t xml:space="preserve">基础运算</t>
  </si>
  <si>
    <t xml:space="preserve">命中效果</t>
  </si>
  <si>
    <t xml:space="preserve">基础近战花瓣，伤害稳定，附带轻微击退。</t>
  </si>
  <si>
    <t xml:space="preserve">−</t>
  </si>
  <si>
    <t xml:space="preserve">减</t>
  </si>
  <si>
    <t xml:space="preserve">伤害较低，命中让怪物减速。</t>
  </si>
  <si>
    <t xml:space="preserve">×</t>
  </si>
  <si>
    <t xml:space="preserve">乘</t>
  </si>
  <si>
    <t xml:space="preserve">高伤害，附带击退。</t>
  </si>
  <si>
    <t xml:space="preserve">÷</t>
  </si>
  <si>
    <t xml:space="preserve">除</t>
  </si>
  <si>
    <t xml:space="preserve">强力击退，把怪物弹开。</t>
  </si>
  <si>
    <t xml:space="preserve">=</t>
  </si>
  <si>
    <t xml:space="preserve">等于</t>
  </si>
  <si>
    <t xml:space="preserve">命中时有概率回复生命。</t>
  </si>
  <si>
    <t xml:space="preserve">%</t>
  </si>
  <si>
    <t xml:space="preserve">百分</t>
  </si>
  <si>
    <t xml:space="preserve">按比例计算。额外造成怪物最大生命一定百分比的伤害。</t>
  </si>
  <si>
    <t xml:space="preserve">∫</t>
  </si>
  <si>
    <t xml:space="preserve">积分</t>
  </si>
  <si>
    <t xml:space="preserve">把变化累加起来。连续命中同一怪物，伤害不断累积。</t>
  </si>
  <si>
    <t xml:space="preserve">Δ</t>
  </si>
  <si>
    <t xml:space="preserve">增量</t>
  </si>
  <si>
    <t xml:space="preserve">装备被动</t>
  </si>
  <si>
    <t xml:space="preserve">装备后加快所有花瓣的旋转速度。</t>
  </si>
  <si>
    <t xml:space="preserve">≠</t>
  </si>
  <si>
    <t xml:space="preserve">不等于</t>
  </si>
  <si>
    <t xml:space="preserve">命中时有概率让怪物眩晕。</t>
  </si>
  <si>
    <t xml:space="preserve">∂</t>
  </si>
  <si>
    <t xml:space="preserve">偏导</t>
  </si>
  <si>
    <t xml:space="preserve">命中时把一部分伤害溅射给附近的怪物。</t>
  </si>
  <si>
    <t xml:space="preserve">≥</t>
  </si>
  <si>
    <t xml:space="preserve">大于等于</t>
  </si>
  <si>
    <r>
      <rPr>
        <sz val="10"/>
        <rFont val="Noto Sans CJK SC"/>
        <family val="2"/>
      </rPr>
      <t xml:space="preserve">有概率打出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倍暴击。</t>
    </r>
  </si>
  <si>
    <t xml:space="preserve">∪</t>
  </si>
  <si>
    <t xml:space="preserve">并集</t>
  </si>
  <si>
    <t xml:space="preserve">上排被动</t>
  </si>
  <si>
    <t xml:space="preserve">装备在上排时扩大拾取范围。</t>
  </si>
  <si>
    <t xml:space="preserve">∠</t>
  </si>
  <si>
    <t xml:space="preserve">角</t>
  </si>
  <si>
    <t xml:space="preserve">装备在上排时延长受伤后的无敌时间。</t>
  </si>
  <si>
    <t xml:space="preserve">θ</t>
  </si>
  <si>
    <t xml:space="preserve">西塔</t>
  </si>
  <si>
    <t xml:space="preserve">装备在上排时扩大花瓣旋转半径。</t>
  </si>
  <si>
    <t xml:space="preserve">微积分与逻辑</t>
  </si>
  <si>
    <t xml:space="preserve">指向增长最快的方向。把被击中的怪物沿梯度方向吸向你。</t>
  </si>
  <si>
    <t xml:space="preserve">→</t>
  </si>
  <si>
    <t xml:space="preserve">趋向</t>
  </si>
  <si>
    <r>
      <rPr>
        <sz val="10"/>
        <rFont val="Noto Sans CJK SC"/>
        <family val="2"/>
      </rPr>
      <t xml:space="preserve">趋近于零。对生命低于 </t>
    </r>
    <r>
      <rPr>
        <sz val="10"/>
        <rFont val="Arial"/>
        <family val="0"/>
        <charset val="1"/>
      </rPr>
      <t xml:space="preserve">30% </t>
    </r>
    <r>
      <rPr>
        <sz val="10"/>
        <rFont val="Noto Sans CJK SC"/>
        <family val="2"/>
      </rPr>
      <t xml:space="preserve">的怪物伤害 </t>
    </r>
    <r>
      <rPr>
        <sz val="10"/>
        <rFont val="Arial"/>
        <family val="0"/>
        <charset val="1"/>
      </rPr>
      <t xml:space="preserve">×3</t>
    </r>
    <r>
      <rPr>
        <sz val="10"/>
        <rFont val="Noto Sans CJK SC"/>
        <family val="2"/>
      </rPr>
      <t xml:space="preserve">。</t>
    </r>
  </si>
  <si>
    <t xml:space="preserve">′</t>
  </si>
  <si>
    <t xml:space="preserve">导数</t>
  </si>
  <si>
    <t xml:space="preserve">变化的快慢。怪物移动越快，受到的伤害越高。</t>
  </si>
  <si>
    <t xml:space="preserve">⊥</t>
  </si>
  <si>
    <t xml:space="preserve">垂直</t>
  </si>
  <si>
    <t xml:space="preserve">与原方向成直角。把怪物沿垂直方向击飞。</t>
  </si>
  <si>
    <t xml:space="preserve">P</t>
  </si>
  <si>
    <r>
      <rPr>
        <sz val="10"/>
        <rFont val="Noto Sans CJK SC"/>
        <family val="2"/>
      </rPr>
      <t xml:space="preserve">结果不确定。伤害在 </t>
    </r>
    <r>
      <rPr>
        <sz val="10"/>
        <rFont val="Arial"/>
        <family val="0"/>
        <charset val="1"/>
      </rPr>
      <t xml:space="preserve">0.3~3.7 </t>
    </r>
    <r>
      <rPr>
        <sz val="10"/>
        <rFont val="Noto Sans CJK SC"/>
        <family val="2"/>
      </rPr>
      <t xml:space="preserve">倍之间随机波动。</t>
    </r>
  </si>
  <si>
    <r>
      <rPr>
        <sz val="10"/>
        <rFont val="Noto Sans CJK SC"/>
        <family val="2"/>
      </rPr>
      <t xml:space="preserve">衡量离散程度。装备在上排时，所有花瓣伤害 </t>
    </r>
    <r>
      <rPr>
        <sz val="10"/>
        <rFont val="Arial"/>
        <family val="0"/>
        <charset val="1"/>
      </rPr>
      <t xml:space="preserve">+20%</t>
    </r>
    <r>
      <rPr>
        <sz val="10"/>
        <rFont val="Noto Sans CJK SC"/>
        <family val="2"/>
      </rPr>
      <t xml:space="preserve">，可叠加。</t>
    </r>
  </si>
  <si>
    <t xml:space="preserve">高伤害的实心花瓣。</t>
  </si>
  <si>
    <r>
      <rPr>
        <sz val="10"/>
        <rFont val="Noto Sans CJK SC"/>
        <family val="2"/>
      </rPr>
      <t xml:space="preserve">从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开始数数。装备的花瓣越多，伤害越高。</t>
    </r>
  </si>
  <si>
    <t xml:space="preserve">𝟘</t>
  </si>
  <si>
    <t xml:space="preserve">零</t>
  </si>
  <si>
    <r>
      <rPr>
        <sz val="10"/>
        <rFont val="Noto Sans CJK SC"/>
        <family val="2"/>
      </rPr>
      <t xml:space="preserve">任何数乘以零都是零。命中时有概率把怪物冻结在原地，冻结时受到的伤害 </t>
    </r>
    <r>
      <rPr>
        <sz val="10"/>
        <rFont val="Arial"/>
        <family val="0"/>
        <charset val="1"/>
      </rPr>
      <t xml:space="preserve">×1.3</t>
    </r>
    <r>
      <rPr>
        <sz val="10"/>
        <rFont val="Noto Sans CJK SC"/>
        <family val="2"/>
      </rPr>
      <t xml:space="preserve">。</t>
    </r>
  </si>
  <si>
    <t xml:space="preserve">∝</t>
  </si>
  <si>
    <t xml:space="preserve">正比</t>
  </si>
  <si>
    <t xml:space="preserve">怪物中毒后，每秒损失的生命与其最大生命成正比。</t>
  </si>
  <si>
    <t xml:space="preserve">⊕</t>
  </si>
  <si>
    <t xml:space="preserve">直和</t>
  </si>
  <si>
    <t xml:space="preserve">把两部分合在一起。命中时回复少量生命。</t>
  </si>
  <si>
    <t xml:space="preserve">⊖</t>
  </si>
  <si>
    <t xml:space="preserve">对称差</t>
  </si>
  <si>
    <t xml:space="preserve">你得到的，正是对方失去的。按造成的伤害比例吸血。</t>
  </si>
  <si>
    <t xml:space="preserve">∿</t>
  </si>
  <si>
    <t xml:space="preserve">正弦</t>
  </si>
  <si>
    <r>
      <rPr>
        <sz val="10"/>
        <rFont val="Noto Sans CJK SC"/>
        <family val="2"/>
      </rPr>
      <t xml:space="preserve">波会沿着介质传播。命中时电击会传导到附近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只怪物。</t>
    </r>
  </si>
  <si>
    <t xml:space="preserve">∀</t>
  </si>
  <si>
    <t xml:space="preserve">任意</t>
  </si>
  <si>
    <r>
      <rPr>
        <sz val="10"/>
        <rFont val="Noto Sans CJK SC"/>
        <family val="2"/>
      </rPr>
      <t xml:space="preserve">对所有 </t>
    </r>
    <r>
      <rPr>
        <sz val="10"/>
        <rFont val="Arial"/>
        <family val="0"/>
        <charset val="1"/>
      </rPr>
      <t xml:space="preserve">x </t>
    </r>
    <r>
      <rPr>
        <sz val="10"/>
        <rFont val="Noto Sans CJK SC"/>
        <family val="2"/>
      </rPr>
      <t xml:space="preserve">都成立。命中时对范围内所有怪物造成溅射伤害。</t>
    </r>
  </si>
  <si>
    <t xml:space="preserve">∩</t>
  </si>
  <si>
    <t xml:space="preserve">交集</t>
  </si>
  <si>
    <r>
      <rPr>
        <sz val="10"/>
        <rFont val="Noto Sans CJK SC"/>
        <family val="2"/>
      </rPr>
      <t xml:space="preserve">同时满足条件才能通过。装备在上排时，每 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秒挡住一次伤害，可叠加加速。</t>
    </r>
  </si>
  <si>
    <t xml:space="preserve">∥</t>
  </si>
  <si>
    <t xml:space="preserve">平行</t>
  </si>
  <si>
    <r>
      <rPr>
        <sz val="10"/>
        <rFont val="Noto Sans CJK SC"/>
        <family val="2"/>
      </rPr>
      <t xml:space="preserve">永不相交，一路向前。装备在上排时，移速 </t>
    </r>
    <r>
      <rPr>
        <sz val="10"/>
        <rFont val="Arial"/>
        <family val="0"/>
        <charset val="1"/>
      </rPr>
      <t xml:space="preserve">+8%</t>
    </r>
    <r>
      <rPr>
        <sz val="10"/>
        <rFont val="Noto Sans CJK SC"/>
        <family val="2"/>
      </rPr>
      <t xml:space="preserve">。</t>
    </r>
  </si>
  <si>
    <t xml:space="preserve">∅</t>
  </si>
  <si>
    <r>
      <rPr>
        <sz val="10"/>
        <rFont val="Noto Sans CJK SC"/>
        <family val="2"/>
      </rPr>
      <t xml:space="preserve">什么都不剩。装备在上排时，受到的伤害 −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。</t>
    </r>
  </si>
  <si>
    <t xml:space="preserve">∃</t>
  </si>
  <si>
    <t xml:space="preserve">存在</t>
  </si>
  <si>
    <r>
      <rPr>
        <sz val="10"/>
        <rFont val="Noto Sans CJK SC"/>
        <family val="2"/>
      </rPr>
      <t xml:space="preserve">装备在上排时，定时召唤金色的 </t>
    </r>
    <r>
      <rPr>
        <sz val="10"/>
        <rFont val="Arial"/>
        <family val="0"/>
        <charset val="1"/>
      </rPr>
      <t xml:space="preserve">π </t>
    </r>
    <r>
      <rPr>
        <sz val="10"/>
        <rFont val="Noto Sans CJK SC"/>
        <family val="2"/>
      </rPr>
      <t xml:space="preserve">帮你战斗。</t>
    </r>
  </si>
  <si>
    <t xml:space="preserve">ℵ</t>
  </si>
  <si>
    <t xml:space="preserve">阿列夫</t>
  </si>
  <si>
    <t xml:space="preserve">装备在上排时，定时召唤速度极快的金色 ∞。</t>
  </si>
  <si>
    <t xml:space="preserve">∮</t>
  </si>
  <si>
    <t xml:space="preserve">环积分</t>
  </si>
  <si>
    <t xml:space="preserve">装备在上排时，定时召唤血厚的金色 ∑。</t>
  </si>
  <si>
    <t xml:space="preserve">∛</t>
  </si>
  <si>
    <t xml:space="preserve">立方根</t>
  </si>
  <si>
    <t xml:space="preserve">装备在上排时，定时召唤会射击的金色 √。</t>
  </si>
  <si>
    <t xml:space="preserve">⌊</t>
  </si>
  <si>
    <t xml:space="preserve">向下取整</t>
  </si>
  <si>
    <r>
      <rPr>
        <sz val="10"/>
        <rFont val="Noto Sans CJK SC"/>
        <family val="2"/>
      </rPr>
      <t xml:space="preserve">命中血量低于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的怪物时，直接将其击杀。</t>
    </r>
  </si>
  <si>
    <t xml:space="preserve">⌈</t>
  </si>
  <si>
    <t xml:space="preserve">向上取整</t>
  </si>
  <si>
    <r>
      <rPr>
        <sz val="10"/>
        <rFont val="Noto Sans CJK SC"/>
        <family val="2"/>
      </rPr>
      <t xml:space="preserve">每次命中至少造成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点伤害，适合搭配低伤害花瓣。</t>
    </r>
  </si>
  <si>
    <t xml:space="preserve">‖</t>
  </si>
  <si>
    <t xml:space="preserve">范数</t>
  </si>
  <si>
    <t xml:space="preserve">你的血量越低，造成的伤害越高。</t>
  </si>
  <si>
    <t xml:space="preserve">∴</t>
  </si>
  <si>
    <t xml:space="preserve">所以</t>
  </si>
  <si>
    <r>
      <rPr>
        <sz val="10"/>
        <rFont val="Noto Sans CJK SC"/>
        <family val="2"/>
      </rPr>
      <t xml:space="preserve">每第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次命中，伤害变为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倍。</t>
    </r>
  </si>
  <si>
    <t xml:space="preserve">∵</t>
  </si>
  <si>
    <t xml:space="preserve">因为</t>
  </si>
  <si>
    <t xml:space="preserve">装备在上排时，提高怪物的掉落几率。</t>
  </si>
  <si>
    <t xml:space="preserve">怪物卡</t>
  </si>
  <si>
    <t xml:space="preserve">圆的周长与直径之比。命中时，周围一个圆形范围内的怪物也会受到伤害。</t>
  </si>
  <si>
    <t xml:space="preserve">开方能把很大的数缩小。额外造成怪物最大生命一定百分比的伤害。</t>
  </si>
  <si>
    <r>
      <rPr>
        <sz val="10"/>
        <rFont val="Noto Sans CJK SC"/>
        <family val="2"/>
      </rPr>
      <t xml:space="preserve">没有尽头。命中时电弧会连续跳到附近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只怪物身上。</t>
    </r>
  </si>
  <si>
    <t xml:space="preserve">把许多项加在一起。装备的花瓣越多，伤害越高。</t>
  </si>
  <si>
    <r>
      <rPr>
        <sz val="10"/>
        <rFont val="Noto Sans CJK SC"/>
        <family val="2"/>
      </rPr>
      <t xml:space="preserve">乘以 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相当于逆时针旋转 </t>
    </r>
    <r>
      <rPr>
        <sz val="10"/>
        <rFont val="Arial"/>
        <family val="0"/>
        <charset val="1"/>
      </rPr>
      <t xml:space="preserve">90°</t>
    </r>
    <r>
      <rPr>
        <sz val="10"/>
        <rFont val="Noto Sans CJK SC"/>
        <family val="2"/>
      </rPr>
      <t xml:space="preserve">。把怪物沿垂直方向击飞。</t>
    </r>
  </si>
  <si>
    <r>
      <rPr>
        <sz val="10"/>
        <rFont val="Noto Sans CJK SC"/>
        <family val="2"/>
      </rPr>
      <t xml:space="preserve">越乘越大。每第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次命中，伤害变为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倍。</t>
    </r>
  </si>
  <si>
    <r>
      <rPr>
        <sz val="10"/>
        <rFont val="Noto Sans CJK SC"/>
        <family val="2"/>
      </rPr>
      <t xml:space="preserve">约等于 </t>
    </r>
    <r>
      <rPr>
        <sz val="10"/>
        <rFont val="Arial"/>
        <family val="0"/>
        <charset val="1"/>
      </rPr>
      <t xml:space="preserve">1.618</t>
    </r>
    <r>
      <rPr>
        <sz val="10"/>
        <rFont val="Noto Sans CJK SC"/>
        <family val="2"/>
      </rPr>
      <t xml:space="preserve">，被认为最和谐的比例。有概率造成暴击。</t>
    </r>
  </si>
  <si>
    <t xml:space="preserve">希腊字母表的最后一个字母。你的血量越低，造成的伤害越高。</t>
  </si>
  <si>
    <t xml:space="preserve">指数增长的底数。连续命中同一怪物，伤害越来越高。</t>
  </si>
  <si>
    <t xml:space="preserve">要多小有多小，却不等于零。对生命快见底的怪物伤害大幅提高。</t>
  </si>
  <si>
    <t xml:space="preserve">由无穷级数求和得到的函数。命中使怪物中毒。</t>
  </si>
  <si>
    <t xml:space="preserve">把许多数连续乘起来。有较高概率造成暴击。</t>
  </si>
  <si>
    <r>
      <rPr>
        <sz val="10"/>
        <rFont val="Noto Sans CJK SC"/>
        <family val="2"/>
      </rPr>
      <t xml:space="preserve">描述粒子的波动。命中时电弧像波一样传到附近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只怪物。</t>
    </r>
  </si>
  <si>
    <t xml:space="preserve">自变量不断逼近某个值。命中时把怪物一点点拉向你。</t>
  </si>
  <si>
    <t xml:space="preserve">每一点处的变化率。怪物移动越快，受到的伤害越高。</t>
  </si>
  <si>
    <t xml:space="preserve">把数排成方阵。命中时伤害会溅射到附近的怪物。</t>
  </si>
  <si>
    <t xml:space="preserve">既有大小，也有方向。命中时沿着方向把怪物击退得很远。</t>
  </si>
  <si>
    <t xml:space="preserve">把数据拉回中间。命中时回复少量生命。</t>
  </si>
  <si>
    <t xml:space="preserve">实部加虚部。命中时把一部分伤害转化为你的生命。</t>
  </si>
  <si>
    <r>
      <rPr>
        <sz val="10"/>
        <rFont val="Noto Sans CJK SC"/>
        <family val="2"/>
      </rPr>
      <t xml:space="preserve">狄拉克 </t>
    </r>
    <r>
      <rPr>
        <sz val="10"/>
        <rFont val="Arial"/>
        <family val="0"/>
        <charset val="1"/>
      </rPr>
      <t xml:space="preserve">δ </t>
    </r>
    <r>
      <rPr>
        <sz val="10"/>
        <rFont val="Noto Sans CJK SC"/>
        <family val="2"/>
      </rPr>
      <t xml:space="preserve">是一瞬间的冲击。命中时有概率将怪物眩晕。</t>
    </r>
  </si>
  <si>
    <t xml:space="preserve">对数能把增长压平。命中使怪物减速。</t>
  </si>
  <si>
    <t xml:space="preserve">全部成立才成立。命中时周围的怪物也会受到伤害。</t>
  </si>
  <si>
    <r>
      <rPr>
        <i val="true"/>
        <sz val="10"/>
        <color rgb="FF555555"/>
        <rFont val="Noto Sans CJK SC"/>
        <family val="2"/>
      </rPr>
      <t xml:space="preserve">蓝字为游戏内的基础伤害；各稀有度伤害 </t>
    </r>
    <r>
      <rPr>
        <i val="true"/>
        <sz val="10"/>
        <color rgb="FF555555"/>
        <rFont val="Arial"/>
        <family val="0"/>
        <charset val="1"/>
      </rPr>
      <t xml:space="preserve">= </t>
    </r>
    <r>
      <rPr>
        <i val="true"/>
        <sz val="10"/>
        <color rgb="FF555555"/>
        <rFont val="Noto Sans CJK SC"/>
        <family val="2"/>
      </rPr>
      <t xml:space="preserve">基础伤害 </t>
    </r>
    <r>
      <rPr>
        <i val="true"/>
        <sz val="10"/>
        <color rgb="FF555555"/>
        <rFont val="Arial"/>
        <family val="0"/>
        <charset val="1"/>
      </rPr>
      <t xml:space="preserve">× </t>
    </r>
    <r>
      <rPr>
        <i val="true"/>
        <sz val="10"/>
        <color rgb="FF555555"/>
        <rFont val="Noto Sans CJK SC"/>
        <family val="2"/>
      </rPr>
      <t xml:space="preserve">装备伤害倍率（见「稀有度」表）。「上排被动」只有放在主装备栏才生效。</t>
    </r>
  </si>
  <si>
    <t xml:space="preserve">地图</t>
  </si>
  <si>
    <t xml:space="preserve">难度</t>
  </si>
  <si>
    <t xml:space="preserve">品质下限（序号）</t>
  </si>
  <si>
    <t xml:space="preserve">品质上限（序号）</t>
  </si>
  <si>
    <t xml:space="preserve">品质范围</t>
  </si>
  <si>
    <t xml:space="preserve">出现怪物</t>
  </si>
  <si>
    <t xml:space="preserve">怪物种数</t>
  </si>
  <si>
    <t xml:space="preserve">π √ e ℕ</t>
  </si>
  <si>
    <t xml:space="preserve">√ ∞ i ε σ δ</t>
  </si>
  <si>
    <t xml:space="preserve">洞窟</t>
  </si>
  <si>
    <t xml:space="preserve">∞ ∑ ! φ ζ lim f′ v⃗ ln</t>
  </si>
  <si>
    <t xml:space="preserve">深渊</t>
  </si>
  <si>
    <t xml:space="preserve">i ! φ ∑ ∏ Ω P(A) lim [ ] Λ</t>
  </si>
  <si>
    <t xml:space="preserve">e ε ∞ ζ ∏ μ ℝ δ</t>
  </si>
  <si>
    <t xml:space="preserve">熔岩</t>
  </si>
  <si>
    <t xml:space="preserve">φ ∑ ∏ ζ ! Ψ [ ] ℂ f′ ln Ø</t>
  </si>
  <si>
    <t xml:space="preserve">虚空</t>
  </si>
  <si>
    <t xml:space="preserve">i φ ∏ ∑ Ω Ψ ∇ P(A) ℂ v⃗ Ø Λ</t>
  </si>
  <si>
    <t xml:space="preserve">地狱蚁穴</t>
  </si>
  <si>
    <t xml:space="preserve">∇ P(A) ℂ v⃗ ∏ Ψ Ω [ ] lim f′ ∑ ln Λ</t>
  </si>
  <si>
    <t xml:space="preserve">同一张地图里所有品质都可能出现，品质范围内的最常见；离出生点越远、所在区域越强，品质越高。</t>
  </si>
  <si>
    <t xml:space="preserve">稀有度倍率</t>
  </si>
  <si>
    <t xml:space="preserve">稀有度</t>
  </si>
  <si>
    <t xml:space="preserve">装备伤害倍率</t>
  </si>
  <si>
    <t xml:space="preserve">怪物血量倍率</t>
  </si>
  <si>
    <t xml:space="preserve">装备伤害底数</t>
  </si>
  <si>
    <t xml:space="preserve">怪物基础血量倍数</t>
  </si>
  <si>
    <t xml:space="preserve">罕见</t>
  </si>
  <si>
    <t xml:space="preserve">稀有</t>
  </si>
  <si>
    <t xml:space="preserve">说明</t>
  </si>
  <si>
    <t xml:space="preserve">史诗</t>
  </si>
  <si>
    <t xml:space="preserve">蓝字是游戏里写死的数值，黄底单元格可以修改，其余表格会自动重算。</t>
  </si>
  <si>
    <t xml:space="preserve">传说</t>
  </si>
  <si>
    <r>
      <rPr>
        <sz val="10"/>
        <rFont val="Noto Sans CJK SC"/>
        <family val="2"/>
      </rPr>
      <t xml:space="preserve">装备伤害倍率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底数 </t>
    </r>
    <r>
      <rPr>
        <sz val="10"/>
        <rFont val="Arial"/>
        <family val="0"/>
        <charset val="1"/>
      </rPr>
      <t xml:space="preserve">^ </t>
    </r>
    <r>
      <rPr>
        <sz val="10"/>
        <rFont val="Noto Sans CJK SC"/>
        <family val="2"/>
      </rPr>
      <t xml:space="preserve">稀有度序号（普通为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，唯一为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）。</t>
    </r>
  </si>
  <si>
    <t xml:space="preserve">神话</t>
  </si>
  <si>
    <r>
      <rPr>
        <sz val="10"/>
        <rFont val="Noto Sans CJK SC"/>
        <family val="2"/>
      </rPr>
      <t xml:space="preserve">怪物血量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基础血量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基础血量倍数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稀有度血量倍率。</t>
    </r>
  </si>
  <si>
    <t xml:space="preserve">超级</t>
  </si>
  <si>
    <r>
      <rPr>
        <sz val="10"/>
        <rFont val="Noto Sans CJK SC"/>
        <family val="2"/>
      </rPr>
      <t xml:space="preserve">游戏里怪物血量还会乘以地图难度加成 </t>
    </r>
    <r>
      <rPr>
        <sz val="10"/>
        <rFont val="Arial"/>
        <family val="0"/>
        <charset val="1"/>
      </rPr>
      <t xml:space="preserve">(1 + (</t>
    </r>
    <r>
      <rPr>
        <sz val="10"/>
        <rFont val="Noto Sans CJK SC"/>
        <family val="2"/>
      </rPr>
      <t xml:space="preserve">难度 − </t>
    </r>
    <r>
      <rPr>
        <sz val="10"/>
        <rFont val="Arial"/>
        <family val="0"/>
        <charset val="1"/>
      </rPr>
      <t xml:space="preserve">1) × 15%)</t>
    </r>
    <r>
      <rPr>
        <sz val="10"/>
        <rFont val="Noto Sans CJK SC"/>
        <family val="2"/>
      </rPr>
      <t xml:space="preserve">，本表未计入。</t>
    </r>
  </si>
  <si>
    <t xml:space="preserve">究极</t>
  </si>
  <si>
    <t xml:space="preserve">数据来自当前版本的游戏文件。</t>
  </si>
  <si>
    <t xml:space="preserve">永恒</t>
  </si>
  <si>
    <t xml:space="preserve">唯一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</si>
</sst>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"/>
    <numFmt numFmtId="166" formatCode="0.0"/>
    <numFmt numFmtId="167" formatCode="0.00"/>
    <numFmt numFmtId="168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</font>
    <font>
      <b val="true"/>
      <sz val="10"/>
      <color rgb="FF000000"/>
      <name val="Noto Sans CJK SC"/>
      <family val="2"/>
    </font>
    <font>
      <b val="true"/>
      <sz val="12"/>
      <name val="Arial"/>
      <family val="0"/>
      <charset val="1"/>
    </font>
    <font>
      <sz val="10"/>
      <name val="Noto Sans CJK SC"/>
      <family val="2"/>
    </font>
    <font>
      <sz val="10"/>
      <name val="Arial"/>
      <family val="0"/>
      <charset val="1"/>
    </font>
    <font>
      <i val="true"/>
      <sz val="10"/>
      <color rgb="FF555555"/>
      <name val="Noto Sans CJK SC"/>
      <family val="2"/>
    </font>
    <font>
      <i val="true"/>
      <sz val="10"/>
      <color rgb="FF555555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Noto Sans CJK SC"/>
      <family val="2"/>
    </font>
    <font>
      <b val="true"/>
      <sz val="14"/>
      <name val="Noto Sans CJK SC"/>
      <family val="2"/>
    </font>
  </fonts>
  <fills count="14">
    <fill>
      <patternFill patternType="none"/>
    </fill>
    <fill>
      <patternFill patternType="gray125"/>
    </fill>
    <fill>
      <patternFill patternType="solid">
        <fgColor rgb="FF37474F"/>
        <bgColor rgb="FF555555"/>
      </patternFill>
    </fill>
    <fill>
      <patternFill patternType="solid">
        <fgColor rgb="FF7EEF6D"/>
        <bgColor rgb="FF2AFFA9"/>
      </patternFill>
    </fill>
    <fill>
      <patternFill patternType="solid">
        <fgColor rgb="FFFFE65D"/>
        <bgColor rgb="FFFFCC99"/>
      </patternFill>
    </fill>
    <fill>
      <patternFill patternType="solid">
        <fgColor rgb="FF4D52E3"/>
        <bgColor rgb="FF0066CC"/>
      </patternFill>
    </fill>
    <fill>
      <patternFill patternType="solid">
        <fgColor rgb="FF861FDE"/>
        <bgColor rgb="FF800080"/>
      </patternFill>
    </fill>
    <fill>
      <patternFill patternType="solid">
        <fgColor rgb="FFDE1F1F"/>
        <bgColor rgb="FFFF2B75"/>
      </patternFill>
    </fill>
    <fill>
      <patternFill patternType="solid">
        <fgColor rgb="FF1FDBDE"/>
        <bgColor rgb="FF00CCFF"/>
      </patternFill>
    </fill>
    <fill>
      <patternFill patternType="solid">
        <fgColor rgb="FF2AFFA9"/>
        <bgColor rgb="FF1FDBDE"/>
      </patternFill>
    </fill>
    <fill>
      <patternFill patternType="solid">
        <fgColor rgb="FFFF2B75"/>
        <bgColor rgb="FFDE1F1F"/>
      </patternFill>
    </fill>
    <fill>
      <patternFill patternType="solid">
        <fgColor rgb="FFFF9A1F"/>
        <bgColor rgb="FFFF8080"/>
      </patternFill>
    </fill>
    <fill>
      <patternFill patternType="solid">
        <fgColor rgb="FF2B2B2B"/>
        <bgColor rgb="FF3333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37474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EEF6D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5D"/>
          <bgColor rgb="FF000000"/>
        </patternFill>
      </fill>
    </dxf>
    <dxf>
      <fill>
        <patternFill patternType="solid">
          <fgColor rgb="FF4D52E3"/>
          <bgColor rgb="FF000000"/>
        </patternFill>
      </fill>
    </dxf>
    <dxf>
      <fill>
        <patternFill patternType="solid">
          <fgColor rgb="FF861FDE"/>
          <bgColor rgb="FF000000"/>
        </patternFill>
      </fill>
    </dxf>
    <dxf>
      <fill>
        <patternFill patternType="solid">
          <fgColor rgb="FFDE1F1F"/>
          <bgColor rgb="FF000000"/>
        </patternFill>
      </fill>
    </dxf>
    <dxf>
      <fill>
        <patternFill patternType="solid">
          <fgColor rgb="FF1FDBDE"/>
          <bgColor rgb="FF000000"/>
        </patternFill>
      </fill>
    </dxf>
    <dxf>
      <fill>
        <patternFill patternType="solid">
          <fgColor rgb="FF2AFFA9"/>
          <bgColor rgb="FF000000"/>
        </patternFill>
      </fill>
    </dxf>
    <dxf>
      <fill>
        <patternFill patternType="solid">
          <fgColor rgb="FFFF2B75"/>
          <bgColor rgb="FF000000"/>
        </patternFill>
      </fill>
    </dxf>
    <dxf>
      <fill>
        <patternFill patternType="solid">
          <fgColor rgb="FFFF9A1F"/>
          <bgColor rgb="FF000000"/>
        </patternFill>
      </fill>
    </dxf>
    <dxf>
      <fill>
        <patternFill patternType="solid">
          <fgColor rgb="FF2B2B2B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DE1F1F"/>
      <rgbColor rgb="FF00FF00"/>
      <rgbColor rgb="FF0000FF"/>
      <rgbColor rgb="FFFFFF00"/>
      <rgbColor rgb="FFFF2B75"/>
      <rgbColor rgb="FF2AFFA9"/>
      <rgbColor rgb="FF800000"/>
      <rgbColor rgb="FF008000"/>
      <rgbColor rgb="FF000080"/>
      <rgbColor rgb="FF808000"/>
      <rgbColor rgb="FF861FDE"/>
      <rgbColor rgb="FF008080"/>
      <rgbColor rgb="FFB0BEC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5D"/>
      <rgbColor rgb="FF99CCFF"/>
      <rgbColor rgb="FFFF99CC"/>
      <rgbColor rgb="FFCC99FF"/>
      <rgbColor rgb="FFFFCC99"/>
      <rgbColor rgb="FF4D52E3"/>
      <rgbColor rgb="FF1FDBDE"/>
      <rgbColor rgb="FF7EEF6D"/>
      <rgbColor rgb="FFFFCC00"/>
      <rgbColor rgb="FFFF9A1F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7474F"/>
      <rgbColor rgb="FF2B2B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6"/>
    <col collapsed="false" customWidth="true" hidden="false" outlineLevel="0" max="8" min="8" style="0" width="12"/>
    <col collapsed="false" customWidth="true" hidden="false" outlineLevel="0" max="11" min="9" style="0" width="6"/>
    <col collapsed="false" customWidth="true" hidden="false" outlineLevel="0" max="12" min="12" style="0" width="9"/>
    <col collapsed="false" customWidth="true" hidden="false" outlineLevel="0" max="13" min="13" style="0" width="36"/>
    <col collapsed="false" customWidth="true" hidden="false" outlineLevel="0" max="14" min="14" style="0" width="14"/>
    <col collapsed="false" customWidth="true" hidden="false" outlineLevel="0" max="15" min="15" style="0" width="24"/>
    <col collapsed="false" customWidth="true" hidden="false" outlineLevel="0" max="25" min="16" style="0" width="11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3" t="s">
        <v>16</v>
      </c>
      <c r="R1" s="4" t="s">
        <v>17</v>
      </c>
      <c r="S1" s="5" t="s">
        <v>18</v>
      </c>
      <c r="T1" s="6" t="s">
        <v>19</v>
      </c>
      <c r="U1" s="7" t="s">
        <v>20</v>
      </c>
      <c r="V1" s="8" t="s">
        <v>21</v>
      </c>
      <c r="W1" s="9" t="s">
        <v>22</v>
      </c>
      <c r="X1" s="10" t="s">
        <v>23</v>
      </c>
      <c r="Y1" s="11" t="s">
        <v>24</v>
      </c>
    </row>
    <row r="2" customFormat="false" ht="15" hidden="false" customHeight="false" outlineLevel="0" collapsed="false">
      <c r="A2" s="12" t="s">
        <v>25</v>
      </c>
      <c r="B2" s="13" t="s">
        <v>26</v>
      </c>
      <c r="C2" s="14" t="n">
        <v>3</v>
      </c>
      <c r="D2" s="14" t="n">
        <v>60</v>
      </c>
      <c r="E2" s="14" t="n">
        <v>20</v>
      </c>
      <c r="F2" s="15" t="s">
        <v>27</v>
      </c>
      <c r="G2" s="15"/>
      <c r="H2" s="13"/>
      <c r="I2" s="15"/>
      <c r="J2" s="15"/>
      <c r="K2" s="15"/>
      <c r="L2" s="15"/>
      <c r="M2" s="16" t="s">
        <v>28</v>
      </c>
      <c r="N2" s="13" t="s">
        <v>26</v>
      </c>
      <c r="O2" s="16" t="s">
        <v>29</v>
      </c>
      <c r="P2" s="17" t="n">
        <f aca="false">$C2*稀有度!$G$4*稀有度!$D$4</f>
        <v>4.5</v>
      </c>
      <c r="Q2" s="17" t="n">
        <f aca="false">$C2*稀有度!$G$4*稀有度!$D$5</f>
        <v>9</v>
      </c>
      <c r="R2" s="17" t="n">
        <f aca="false">$C2*稀有度!$G$4*稀有度!$D$6</f>
        <v>18</v>
      </c>
      <c r="S2" s="17" t="n">
        <f aca="false">$C2*稀有度!$G$4*稀有度!$D$7</f>
        <v>36</v>
      </c>
      <c r="T2" s="17" t="n">
        <f aca="false">$C2*稀有度!$G$4*稀有度!$D$8</f>
        <v>72</v>
      </c>
      <c r="U2" s="17" t="n">
        <f aca="false">$C2*稀有度!$G$4*稀有度!$D$9</f>
        <v>144</v>
      </c>
      <c r="V2" s="17" t="n">
        <f aca="false">$C2*稀有度!$G$4*稀有度!$D$10</f>
        <v>270</v>
      </c>
      <c r="W2" s="17" t="n">
        <f aca="false">$C2*稀有度!$G$4*稀有度!$D$11</f>
        <v>495</v>
      </c>
      <c r="X2" s="17" t="n">
        <f aca="false">$C2*稀有度!$G$4*稀有度!$D$12</f>
        <v>900</v>
      </c>
      <c r="Y2" s="17" t="n">
        <f aca="false">$C2*稀有度!$G$4*稀有度!$D$13</f>
        <v>1800</v>
      </c>
    </row>
    <row r="3" customFormat="false" ht="15" hidden="false" customHeight="false" outlineLevel="0" collapsed="false">
      <c r="A3" s="12" t="s">
        <v>30</v>
      </c>
      <c r="B3" s="13" t="s">
        <v>31</v>
      </c>
      <c r="C3" s="15" t="n">
        <v>4</v>
      </c>
      <c r="D3" s="15" t="n">
        <v>75</v>
      </c>
      <c r="E3" s="15" t="n">
        <v>20</v>
      </c>
      <c r="F3" s="15" t="s">
        <v>27</v>
      </c>
      <c r="G3" s="15"/>
      <c r="H3" s="13"/>
      <c r="I3" s="15"/>
      <c r="J3" s="15"/>
      <c r="K3" s="15"/>
      <c r="L3" s="15"/>
      <c r="M3" s="16" t="s">
        <v>32</v>
      </c>
      <c r="N3" s="13" t="s">
        <v>31</v>
      </c>
      <c r="O3" s="16" t="s">
        <v>33</v>
      </c>
      <c r="P3" s="17" t="n">
        <f aca="false">$C3*稀有度!$G$4*稀有度!$D$4</f>
        <v>6</v>
      </c>
      <c r="Q3" s="17" t="n">
        <f aca="false">$C3*稀有度!$G$4*稀有度!$D$5</f>
        <v>12</v>
      </c>
      <c r="R3" s="17" t="n">
        <f aca="false">$C3*稀有度!$G$4*稀有度!$D$6</f>
        <v>24</v>
      </c>
      <c r="S3" s="17" t="n">
        <f aca="false">$C3*稀有度!$G$4*稀有度!$D$7</f>
        <v>48</v>
      </c>
      <c r="T3" s="17" t="n">
        <f aca="false">$C3*稀有度!$G$4*稀有度!$D$8</f>
        <v>96</v>
      </c>
      <c r="U3" s="17" t="n">
        <f aca="false">$C3*稀有度!$G$4*稀有度!$D$9</f>
        <v>192</v>
      </c>
      <c r="V3" s="17" t="n">
        <f aca="false">$C3*稀有度!$G$4*稀有度!$D$10</f>
        <v>360</v>
      </c>
      <c r="W3" s="17" t="n">
        <f aca="false">$C3*稀有度!$G$4*稀有度!$D$11</f>
        <v>660</v>
      </c>
      <c r="X3" s="17" t="n">
        <f aca="false">$C3*稀有度!$G$4*稀有度!$D$12</f>
        <v>1200</v>
      </c>
      <c r="Y3" s="17" t="n">
        <f aca="false">$C3*稀有度!$G$4*稀有度!$D$13</f>
        <v>2400</v>
      </c>
    </row>
    <row r="4" customFormat="false" ht="15" hidden="false" customHeight="false" outlineLevel="0" collapsed="false">
      <c r="A4" s="12" t="s">
        <v>34</v>
      </c>
      <c r="B4" s="13" t="s">
        <v>35</v>
      </c>
      <c r="C4" s="15" t="n">
        <v>5</v>
      </c>
      <c r="D4" s="15" t="n">
        <v>95</v>
      </c>
      <c r="E4" s="15" t="n">
        <v>24</v>
      </c>
      <c r="F4" s="15" t="s">
        <v>27</v>
      </c>
      <c r="G4" s="15"/>
      <c r="H4" s="13"/>
      <c r="I4" s="15"/>
      <c r="J4" s="15"/>
      <c r="K4" s="15"/>
      <c r="L4" s="15"/>
      <c r="M4" s="16" t="s">
        <v>36</v>
      </c>
      <c r="N4" s="13" t="s">
        <v>35</v>
      </c>
      <c r="O4" s="16" t="s">
        <v>37</v>
      </c>
      <c r="P4" s="17" t="n">
        <f aca="false">$C4*稀有度!$G$4*稀有度!$D$4</f>
        <v>7.5</v>
      </c>
      <c r="Q4" s="17" t="n">
        <f aca="false">$C4*稀有度!$G$4*稀有度!$D$5</f>
        <v>15</v>
      </c>
      <c r="R4" s="17" t="n">
        <f aca="false">$C4*稀有度!$G$4*稀有度!$D$6</f>
        <v>30</v>
      </c>
      <c r="S4" s="17" t="n">
        <f aca="false">$C4*稀有度!$G$4*稀有度!$D$7</f>
        <v>60</v>
      </c>
      <c r="T4" s="17" t="n">
        <f aca="false">$C4*稀有度!$G$4*稀有度!$D$8</f>
        <v>120</v>
      </c>
      <c r="U4" s="17" t="n">
        <f aca="false">$C4*稀有度!$G$4*稀有度!$D$9</f>
        <v>240</v>
      </c>
      <c r="V4" s="17" t="n">
        <f aca="false">$C4*稀有度!$G$4*稀有度!$D$10</f>
        <v>450</v>
      </c>
      <c r="W4" s="17" t="n">
        <f aca="false">$C4*稀有度!$G$4*稀有度!$D$11</f>
        <v>825</v>
      </c>
      <c r="X4" s="17" t="n">
        <f aca="false">$C4*稀有度!$G$4*稀有度!$D$12</f>
        <v>1500</v>
      </c>
      <c r="Y4" s="17" t="n">
        <f aca="false">$C4*稀有度!$G$4*稀有度!$D$13</f>
        <v>3000</v>
      </c>
    </row>
    <row r="5" customFormat="false" ht="29.85" hidden="false" customHeight="false" outlineLevel="0" collapsed="false">
      <c r="A5" s="12" t="s">
        <v>38</v>
      </c>
      <c r="B5" s="13" t="s">
        <v>39</v>
      </c>
      <c r="C5" s="15" t="n">
        <v>12</v>
      </c>
      <c r="D5" s="15" t="n">
        <v>42</v>
      </c>
      <c r="E5" s="15" t="n">
        <v>30</v>
      </c>
      <c r="F5" s="15" t="s">
        <v>27</v>
      </c>
      <c r="G5" s="14" t="s">
        <v>40</v>
      </c>
      <c r="H5" s="18" t="s">
        <v>41</v>
      </c>
      <c r="I5" s="15"/>
      <c r="J5" s="15"/>
      <c r="K5" s="15"/>
      <c r="L5" s="15"/>
      <c r="M5" s="16" t="s">
        <v>42</v>
      </c>
      <c r="N5" s="13" t="s">
        <v>39</v>
      </c>
      <c r="O5" s="16" t="s">
        <v>43</v>
      </c>
      <c r="P5" s="17" t="n">
        <f aca="false">$C5*稀有度!$G$4*稀有度!$D$4</f>
        <v>18</v>
      </c>
      <c r="Q5" s="17" t="n">
        <f aca="false">$C5*稀有度!$G$4*稀有度!$D$5</f>
        <v>36</v>
      </c>
      <c r="R5" s="17" t="n">
        <f aca="false">$C5*稀有度!$G$4*稀有度!$D$6</f>
        <v>72</v>
      </c>
      <c r="S5" s="17" t="n">
        <f aca="false">$C5*稀有度!$G$4*稀有度!$D$7</f>
        <v>144</v>
      </c>
      <c r="T5" s="17" t="n">
        <f aca="false">$C5*稀有度!$G$4*稀有度!$D$8</f>
        <v>288</v>
      </c>
      <c r="U5" s="17" t="n">
        <f aca="false">$C5*稀有度!$G$4*稀有度!$D$9</f>
        <v>576</v>
      </c>
      <c r="V5" s="17" t="n">
        <f aca="false">$C5*稀有度!$G$4*稀有度!$D$10</f>
        <v>1080</v>
      </c>
      <c r="W5" s="17" t="n">
        <f aca="false">$C5*稀有度!$G$4*稀有度!$D$11</f>
        <v>1980</v>
      </c>
      <c r="X5" s="17" t="n">
        <f aca="false">$C5*稀有度!$G$4*稀有度!$D$12</f>
        <v>3600</v>
      </c>
      <c r="Y5" s="17" t="n">
        <f aca="false">$C5*稀有度!$G$4*稀有度!$D$13</f>
        <v>7200</v>
      </c>
    </row>
    <row r="6" customFormat="false" ht="15" hidden="false" customHeight="false" outlineLevel="0" collapsed="false">
      <c r="A6" s="12" t="s">
        <v>44</v>
      </c>
      <c r="B6" s="13" t="s">
        <v>45</v>
      </c>
      <c r="C6" s="15" t="n">
        <v>4</v>
      </c>
      <c r="D6" s="15" t="n">
        <v>55</v>
      </c>
      <c r="E6" s="15" t="n">
        <v>18</v>
      </c>
      <c r="F6" s="15" t="s">
        <v>27</v>
      </c>
      <c r="G6" s="15"/>
      <c r="H6" s="13"/>
      <c r="I6" s="15"/>
      <c r="J6" s="14" t="s">
        <v>40</v>
      </c>
      <c r="K6" s="15"/>
      <c r="L6" s="15"/>
      <c r="M6" s="16" t="s">
        <v>46</v>
      </c>
      <c r="N6" s="13" t="s">
        <v>45</v>
      </c>
      <c r="O6" s="16" t="s">
        <v>47</v>
      </c>
      <c r="P6" s="17" t="n">
        <f aca="false">$C6*稀有度!$G$4*稀有度!$D$4</f>
        <v>6</v>
      </c>
      <c r="Q6" s="17" t="n">
        <f aca="false">$C6*稀有度!$G$4*稀有度!$D$5</f>
        <v>12</v>
      </c>
      <c r="R6" s="17" t="n">
        <f aca="false">$C6*稀有度!$G$4*稀有度!$D$6</f>
        <v>24</v>
      </c>
      <c r="S6" s="17" t="n">
        <f aca="false">$C6*稀有度!$G$4*稀有度!$D$7</f>
        <v>48</v>
      </c>
      <c r="T6" s="17" t="n">
        <f aca="false">$C6*稀有度!$G$4*稀有度!$D$8</f>
        <v>96</v>
      </c>
      <c r="U6" s="17" t="n">
        <f aca="false">$C6*稀有度!$G$4*稀有度!$D$9</f>
        <v>192</v>
      </c>
      <c r="V6" s="17" t="n">
        <f aca="false">$C6*稀有度!$G$4*稀有度!$D$10</f>
        <v>360</v>
      </c>
      <c r="W6" s="17" t="n">
        <f aca="false">$C6*稀有度!$G$4*稀有度!$D$11</f>
        <v>660</v>
      </c>
      <c r="X6" s="17" t="n">
        <f aca="false">$C6*稀有度!$G$4*稀有度!$D$12</f>
        <v>1200</v>
      </c>
      <c r="Y6" s="17" t="n">
        <f aca="false">$C6*稀有度!$G$4*稀有度!$D$13</f>
        <v>2400</v>
      </c>
    </row>
    <row r="7" customFormat="false" ht="15" hidden="false" customHeight="false" outlineLevel="0" collapsed="false">
      <c r="A7" s="12" t="s">
        <v>48</v>
      </c>
      <c r="B7" s="13" t="s">
        <v>49</v>
      </c>
      <c r="C7" s="15" t="n">
        <v>7</v>
      </c>
      <c r="D7" s="15" t="n">
        <v>62</v>
      </c>
      <c r="E7" s="15" t="n">
        <v>22</v>
      </c>
      <c r="F7" s="15" t="s">
        <v>27</v>
      </c>
      <c r="G7" s="15"/>
      <c r="H7" s="13"/>
      <c r="I7" s="15"/>
      <c r="J7" s="15"/>
      <c r="K7" s="15"/>
      <c r="L7" s="14" t="s">
        <v>40</v>
      </c>
      <c r="M7" s="16" t="s">
        <v>50</v>
      </c>
      <c r="N7" s="13" t="s">
        <v>49</v>
      </c>
      <c r="O7" s="16" t="s">
        <v>51</v>
      </c>
      <c r="P7" s="17" t="n">
        <f aca="false">$C7*稀有度!$G$4*稀有度!$D$4</f>
        <v>10.5</v>
      </c>
      <c r="Q7" s="17" t="n">
        <f aca="false">$C7*稀有度!$G$4*稀有度!$D$5</f>
        <v>21</v>
      </c>
      <c r="R7" s="17" t="n">
        <f aca="false">$C7*稀有度!$G$4*稀有度!$D$6</f>
        <v>42</v>
      </c>
      <c r="S7" s="17" t="n">
        <f aca="false">$C7*稀有度!$G$4*稀有度!$D$7</f>
        <v>84</v>
      </c>
      <c r="T7" s="17" t="n">
        <f aca="false">$C7*稀有度!$G$4*稀有度!$D$8</f>
        <v>168</v>
      </c>
      <c r="U7" s="17" t="n">
        <f aca="false">$C7*稀有度!$G$4*稀有度!$D$9</f>
        <v>336</v>
      </c>
      <c r="V7" s="17" t="n">
        <f aca="false">$C7*稀有度!$G$4*稀有度!$D$10</f>
        <v>630</v>
      </c>
      <c r="W7" s="17" t="n">
        <f aca="false">$C7*稀有度!$G$4*稀有度!$D$11</f>
        <v>1155</v>
      </c>
      <c r="X7" s="17" t="n">
        <f aca="false">$C7*稀有度!$G$4*稀有度!$D$12</f>
        <v>2100</v>
      </c>
      <c r="Y7" s="17" t="n">
        <f aca="false">$C7*稀有度!$G$4*稀有度!$D$13</f>
        <v>4200</v>
      </c>
    </row>
    <row r="8" customFormat="false" ht="15" hidden="false" customHeight="false" outlineLevel="0" collapsed="false">
      <c r="A8" s="12" t="s">
        <v>52</v>
      </c>
      <c r="B8" s="13" t="s">
        <v>53</v>
      </c>
      <c r="C8" s="15" t="n">
        <v>8</v>
      </c>
      <c r="D8" s="15" t="n">
        <v>60</v>
      </c>
      <c r="E8" s="15" t="n">
        <v>22</v>
      </c>
      <c r="F8" s="15" t="s">
        <v>27</v>
      </c>
      <c r="G8" s="15"/>
      <c r="H8" s="13"/>
      <c r="I8" s="15"/>
      <c r="J8" s="15"/>
      <c r="K8" s="14" t="s">
        <v>40</v>
      </c>
      <c r="L8" s="15"/>
      <c r="M8" s="16" t="s">
        <v>54</v>
      </c>
      <c r="N8" s="13" t="s">
        <v>53</v>
      </c>
      <c r="O8" s="16" t="s">
        <v>55</v>
      </c>
      <c r="P8" s="17" t="n">
        <f aca="false">$C8*稀有度!$G$4*稀有度!$D$4</f>
        <v>12</v>
      </c>
      <c r="Q8" s="17" t="n">
        <f aca="false">$C8*稀有度!$G$4*稀有度!$D$5</f>
        <v>24</v>
      </c>
      <c r="R8" s="17" t="n">
        <f aca="false">$C8*稀有度!$G$4*稀有度!$D$6</f>
        <v>48</v>
      </c>
      <c r="S8" s="17" t="n">
        <f aca="false">$C8*稀有度!$G$4*稀有度!$D$7</f>
        <v>96</v>
      </c>
      <c r="T8" s="17" t="n">
        <f aca="false">$C8*稀有度!$G$4*稀有度!$D$8</f>
        <v>192</v>
      </c>
      <c r="U8" s="17" t="n">
        <f aca="false">$C8*稀有度!$G$4*稀有度!$D$9</f>
        <v>384</v>
      </c>
      <c r="V8" s="17" t="n">
        <f aca="false">$C8*稀有度!$G$4*稀有度!$D$10</f>
        <v>720</v>
      </c>
      <c r="W8" s="17" t="n">
        <f aca="false">$C8*稀有度!$G$4*稀有度!$D$11</f>
        <v>1320</v>
      </c>
      <c r="X8" s="17" t="n">
        <f aca="false">$C8*稀有度!$G$4*稀有度!$D$12</f>
        <v>2400</v>
      </c>
      <c r="Y8" s="17" t="n">
        <f aca="false">$C8*稀有度!$G$4*稀有度!$D$13</f>
        <v>4800</v>
      </c>
    </row>
    <row r="9" customFormat="false" ht="15" hidden="false" customHeight="false" outlineLevel="0" collapsed="false">
      <c r="A9" s="12" t="s">
        <v>56</v>
      </c>
      <c r="B9" s="13" t="s">
        <v>57</v>
      </c>
      <c r="C9" s="15" t="n">
        <v>40</v>
      </c>
      <c r="D9" s="15" t="n">
        <v>36</v>
      </c>
      <c r="E9" s="15" t="n">
        <v>40</v>
      </c>
      <c r="F9" s="14" t="s">
        <v>58</v>
      </c>
      <c r="G9" s="14" t="s">
        <v>40</v>
      </c>
      <c r="H9" s="18" t="s">
        <v>59</v>
      </c>
      <c r="I9" s="15"/>
      <c r="J9" s="15"/>
      <c r="K9" s="15"/>
      <c r="L9" s="15"/>
      <c r="M9" s="19" t="s">
        <v>60</v>
      </c>
      <c r="N9" s="13" t="s">
        <v>57</v>
      </c>
      <c r="O9" s="16" t="s">
        <v>61</v>
      </c>
      <c r="P9" s="17" t="n">
        <f aca="false">$C9*稀有度!$G$4*稀有度!$D$4</f>
        <v>60</v>
      </c>
      <c r="Q9" s="17" t="n">
        <f aca="false">$C9*稀有度!$G$4*稀有度!$D$5</f>
        <v>120</v>
      </c>
      <c r="R9" s="17" t="n">
        <f aca="false">$C9*稀有度!$G$4*稀有度!$D$6</f>
        <v>240</v>
      </c>
      <c r="S9" s="17" t="n">
        <f aca="false">$C9*稀有度!$G$4*稀有度!$D$7</f>
        <v>480</v>
      </c>
      <c r="T9" s="17" t="n">
        <f aca="false">$C9*稀有度!$G$4*稀有度!$D$8</f>
        <v>960</v>
      </c>
      <c r="U9" s="17" t="n">
        <f aca="false">$C9*稀有度!$G$4*稀有度!$D$9</f>
        <v>1920</v>
      </c>
      <c r="V9" s="17" t="n">
        <f aca="false">$C9*稀有度!$G$4*稀有度!$D$10</f>
        <v>3600</v>
      </c>
      <c r="W9" s="17" t="n">
        <f aca="false">$C9*稀有度!$G$4*稀有度!$D$11</f>
        <v>6600</v>
      </c>
      <c r="X9" s="17" t="n">
        <f aca="false">$C9*稀有度!$G$4*稀有度!$D$12</f>
        <v>12000</v>
      </c>
      <c r="Y9" s="17" t="n">
        <f aca="false">$C9*稀有度!$G$4*稀有度!$D$13</f>
        <v>24000</v>
      </c>
    </row>
    <row r="10" customFormat="false" ht="15" hidden="false" customHeight="false" outlineLevel="0" collapsed="false">
      <c r="A10" s="12" t="s">
        <v>62</v>
      </c>
      <c r="B10" s="13" t="s">
        <v>63</v>
      </c>
      <c r="C10" s="15" t="n">
        <v>3</v>
      </c>
      <c r="D10" s="15" t="n">
        <v>115</v>
      </c>
      <c r="E10" s="15" t="n">
        <v>17</v>
      </c>
      <c r="F10" s="15" t="s">
        <v>27</v>
      </c>
      <c r="G10" s="15"/>
      <c r="H10" s="13"/>
      <c r="I10" s="15"/>
      <c r="J10" s="15"/>
      <c r="K10" s="15"/>
      <c r="L10" s="15"/>
      <c r="M10" s="16" t="s">
        <v>64</v>
      </c>
      <c r="N10" s="13" t="s">
        <v>63</v>
      </c>
      <c r="O10" s="16" t="s">
        <v>65</v>
      </c>
      <c r="P10" s="17" t="n">
        <f aca="false">$C10*稀有度!$G$4*稀有度!$D$4</f>
        <v>4.5</v>
      </c>
      <c r="Q10" s="17" t="n">
        <f aca="false">$C10*稀有度!$G$4*稀有度!$D$5</f>
        <v>9</v>
      </c>
      <c r="R10" s="17" t="n">
        <f aca="false">$C10*稀有度!$G$4*稀有度!$D$6</f>
        <v>18</v>
      </c>
      <c r="S10" s="17" t="n">
        <f aca="false">$C10*稀有度!$G$4*稀有度!$D$7</f>
        <v>36</v>
      </c>
      <c r="T10" s="17" t="n">
        <f aca="false">$C10*稀有度!$G$4*稀有度!$D$8</f>
        <v>72</v>
      </c>
      <c r="U10" s="17" t="n">
        <f aca="false">$C10*稀有度!$G$4*稀有度!$D$9</f>
        <v>144</v>
      </c>
      <c r="V10" s="17" t="n">
        <f aca="false">$C10*稀有度!$G$4*稀有度!$D$10</f>
        <v>270</v>
      </c>
      <c r="W10" s="17" t="n">
        <f aca="false">$C10*稀有度!$G$4*稀有度!$D$11</f>
        <v>495</v>
      </c>
      <c r="X10" s="17" t="n">
        <f aca="false">$C10*稀有度!$G$4*稀有度!$D$12</f>
        <v>900</v>
      </c>
      <c r="Y10" s="17" t="n">
        <f aca="false">$C10*稀有度!$G$4*稀有度!$D$13</f>
        <v>1800</v>
      </c>
    </row>
    <row r="11" customFormat="false" ht="15" hidden="false" customHeight="false" outlineLevel="0" collapsed="false">
      <c r="A11" s="12" t="s">
        <v>66</v>
      </c>
      <c r="B11" s="13" t="s">
        <v>67</v>
      </c>
      <c r="C11" s="15" t="n">
        <v>2</v>
      </c>
      <c r="D11" s="15" t="n">
        <v>125</v>
      </c>
      <c r="E11" s="15" t="n">
        <v>12</v>
      </c>
      <c r="F11" s="15" t="s">
        <v>27</v>
      </c>
      <c r="G11" s="15"/>
      <c r="H11" s="13"/>
      <c r="I11" s="15"/>
      <c r="J11" s="15"/>
      <c r="K11" s="15"/>
      <c r="L11" s="15"/>
      <c r="M11" s="16" t="s">
        <v>68</v>
      </c>
      <c r="N11" s="13" t="s">
        <v>67</v>
      </c>
      <c r="O11" s="16" t="s">
        <v>69</v>
      </c>
      <c r="P11" s="17" t="n">
        <f aca="false">$C11*稀有度!$G$4*稀有度!$D$4</f>
        <v>3</v>
      </c>
      <c r="Q11" s="17" t="n">
        <f aca="false">$C11*稀有度!$G$4*稀有度!$D$5</f>
        <v>6</v>
      </c>
      <c r="R11" s="17" t="n">
        <f aca="false">$C11*稀有度!$G$4*稀有度!$D$6</f>
        <v>12</v>
      </c>
      <c r="S11" s="17" t="n">
        <f aca="false">$C11*稀有度!$G$4*稀有度!$D$7</f>
        <v>24</v>
      </c>
      <c r="T11" s="17" t="n">
        <f aca="false">$C11*稀有度!$G$4*稀有度!$D$8</f>
        <v>48</v>
      </c>
      <c r="U11" s="17" t="n">
        <f aca="false">$C11*稀有度!$G$4*稀有度!$D$9</f>
        <v>96</v>
      </c>
      <c r="V11" s="17" t="n">
        <f aca="false">$C11*稀有度!$G$4*稀有度!$D$10</f>
        <v>180</v>
      </c>
      <c r="W11" s="17" t="n">
        <f aca="false">$C11*稀有度!$G$4*稀有度!$D$11</f>
        <v>330</v>
      </c>
      <c r="X11" s="17" t="n">
        <f aca="false">$C11*稀有度!$G$4*稀有度!$D$12</f>
        <v>600</v>
      </c>
      <c r="Y11" s="17" t="n">
        <f aca="false">$C11*稀有度!$G$4*稀有度!$D$13</f>
        <v>1200</v>
      </c>
    </row>
    <row r="12" customFormat="false" ht="29.85" hidden="false" customHeight="false" outlineLevel="0" collapsed="false">
      <c r="A12" s="12" t="s">
        <v>70</v>
      </c>
      <c r="B12" s="13" t="s">
        <v>71</v>
      </c>
      <c r="C12" s="15" t="n">
        <v>16</v>
      </c>
      <c r="D12" s="15" t="n">
        <v>38</v>
      </c>
      <c r="E12" s="15" t="n">
        <v>28</v>
      </c>
      <c r="F12" s="15" t="s">
        <v>27</v>
      </c>
      <c r="G12" s="14" t="s">
        <v>40</v>
      </c>
      <c r="H12" s="18" t="s">
        <v>72</v>
      </c>
      <c r="I12" s="14" t="s">
        <v>40</v>
      </c>
      <c r="J12" s="15"/>
      <c r="K12" s="15"/>
      <c r="L12" s="15"/>
      <c r="M12" s="16" t="s">
        <v>73</v>
      </c>
      <c r="N12" s="13" t="s">
        <v>71</v>
      </c>
      <c r="O12" s="16" t="s">
        <v>74</v>
      </c>
      <c r="P12" s="17" t="n">
        <f aca="false">$C12*稀有度!$G$4*稀有度!$D$4</f>
        <v>24</v>
      </c>
      <c r="Q12" s="17" t="n">
        <f aca="false">$C12*稀有度!$G$4*稀有度!$D$5</f>
        <v>48</v>
      </c>
      <c r="R12" s="17" t="n">
        <f aca="false">$C12*稀有度!$G$4*稀有度!$D$6</f>
        <v>96</v>
      </c>
      <c r="S12" s="17" t="n">
        <f aca="false">$C12*稀有度!$G$4*稀有度!$D$7</f>
        <v>192</v>
      </c>
      <c r="T12" s="17" t="n">
        <f aca="false">$C12*稀有度!$G$4*稀有度!$D$8</f>
        <v>384</v>
      </c>
      <c r="U12" s="17" t="n">
        <f aca="false">$C12*稀有度!$G$4*稀有度!$D$9</f>
        <v>768</v>
      </c>
      <c r="V12" s="17" t="n">
        <f aca="false">$C12*稀有度!$G$4*稀有度!$D$10</f>
        <v>1440</v>
      </c>
      <c r="W12" s="17" t="n">
        <f aca="false">$C12*稀有度!$G$4*稀有度!$D$11</f>
        <v>2640</v>
      </c>
      <c r="X12" s="17" t="n">
        <f aca="false">$C12*稀有度!$G$4*稀有度!$D$12</f>
        <v>4800</v>
      </c>
      <c r="Y12" s="17" t="n">
        <f aca="false">$C12*稀有度!$G$4*稀有度!$D$13</f>
        <v>9600</v>
      </c>
    </row>
    <row r="13" customFormat="false" ht="29.85" hidden="false" customHeight="false" outlineLevel="0" collapsed="false">
      <c r="A13" s="12" t="s">
        <v>75</v>
      </c>
      <c r="B13" s="13" t="s">
        <v>76</v>
      </c>
      <c r="C13" s="15" t="n">
        <v>12</v>
      </c>
      <c r="D13" s="15" t="n">
        <v>50</v>
      </c>
      <c r="E13" s="15" t="n">
        <v>26</v>
      </c>
      <c r="F13" s="15" t="s">
        <v>27</v>
      </c>
      <c r="G13" s="14" t="s">
        <v>40</v>
      </c>
      <c r="H13" s="18" t="s">
        <v>77</v>
      </c>
      <c r="I13" s="14" t="s">
        <v>40</v>
      </c>
      <c r="J13" s="15"/>
      <c r="K13" s="15"/>
      <c r="L13" s="14" t="s">
        <v>40</v>
      </c>
      <c r="M13" s="16" t="s">
        <v>78</v>
      </c>
      <c r="N13" s="13" t="s">
        <v>76</v>
      </c>
      <c r="O13" s="16" t="s">
        <v>79</v>
      </c>
      <c r="P13" s="17" t="n">
        <f aca="false">$C13*稀有度!$G$4*稀有度!$D$4</f>
        <v>18</v>
      </c>
      <c r="Q13" s="17" t="n">
        <f aca="false">$C13*稀有度!$G$4*稀有度!$D$5</f>
        <v>36</v>
      </c>
      <c r="R13" s="17" t="n">
        <f aca="false">$C13*稀有度!$G$4*稀有度!$D$6</f>
        <v>72</v>
      </c>
      <c r="S13" s="17" t="n">
        <f aca="false">$C13*稀有度!$G$4*稀有度!$D$7</f>
        <v>144</v>
      </c>
      <c r="T13" s="17" t="n">
        <f aca="false">$C13*稀有度!$G$4*稀有度!$D$8</f>
        <v>288</v>
      </c>
      <c r="U13" s="17" t="n">
        <f aca="false">$C13*稀有度!$G$4*稀有度!$D$9</f>
        <v>576</v>
      </c>
      <c r="V13" s="17" t="n">
        <f aca="false">$C13*稀有度!$G$4*稀有度!$D$10</f>
        <v>1080</v>
      </c>
      <c r="W13" s="17" t="n">
        <f aca="false">$C13*稀有度!$G$4*稀有度!$D$11</f>
        <v>1980</v>
      </c>
      <c r="X13" s="17" t="n">
        <f aca="false">$C13*稀有度!$G$4*稀有度!$D$12</f>
        <v>3600</v>
      </c>
      <c r="Y13" s="17" t="n">
        <f aca="false">$C13*稀有度!$G$4*稀有度!$D$13</f>
        <v>7200</v>
      </c>
    </row>
    <row r="14" customFormat="false" ht="15" hidden="false" customHeight="false" outlineLevel="0" collapsed="false">
      <c r="A14" s="12" t="s">
        <v>80</v>
      </c>
      <c r="B14" s="13" t="s">
        <v>81</v>
      </c>
      <c r="C14" s="15" t="n">
        <v>60</v>
      </c>
      <c r="D14" s="15" t="n">
        <v>34</v>
      </c>
      <c r="E14" s="15" t="n">
        <v>44</v>
      </c>
      <c r="F14" s="14" t="s">
        <v>58</v>
      </c>
      <c r="G14" s="14" t="s">
        <v>40</v>
      </c>
      <c r="H14" s="18" t="s">
        <v>82</v>
      </c>
      <c r="I14" s="15"/>
      <c r="J14" s="15"/>
      <c r="K14" s="15"/>
      <c r="L14" s="15"/>
      <c r="M14" s="19" t="s">
        <v>60</v>
      </c>
      <c r="N14" s="13" t="s">
        <v>81</v>
      </c>
      <c r="O14" s="16" t="s">
        <v>83</v>
      </c>
      <c r="P14" s="17" t="n">
        <f aca="false">$C14*稀有度!$G$4*稀有度!$D$4</f>
        <v>90</v>
      </c>
      <c r="Q14" s="17" t="n">
        <f aca="false">$C14*稀有度!$G$4*稀有度!$D$5</f>
        <v>180</v>
      </c>
      <c r="R14" s="17" t="n">
        <f aca="false">$C14*稀有度!$G$4*稀有度!$D$6</f>
        <v>360</v>
      </c>
      <c r="S14" s="17" t="n">
        <f aca="false">$C14*稀有度!$G$4*稀有度!$D$7</f>
        <v>720</v>
      </c>
      <c r="T14" s="17" t="n">
        <f aca="false">$C14*稀有度!$G$4*稀有度!$D$8</f>
        <v>1440</v>
      </c>
      <c r="U14" s="17" t="n">
        <f aca="false">$C14*稀有度!$G$4*稀有度!$D$9</f>
        <v>2880</v>
      </c>
      <c r="V14" s="17" t="n">
        <f aca="false">$C14*稀有度!$G$4*稀有度!$D$10</f>
        <v>5400</v>
      </c>
      <c r="W14" s="17" t="n">
        <f aca="false">$C14*稀有度!$G$4*稀有度!$D$11</f>
        <v>9900</v>
      </c>
      <c r="X14" s="17" t="n">
        <f aca="false">$C14*稀有度!$G$4*稀有度!$D$12</f>
        <v>18000</v>
      </c>
      <c r="Y14" s="17" t="n">
        <f aca="false">$C14*稀有度!$G$4*稀有度!$D$13</f>
        <v>36000</v>
      </c>
    </row>
    <row r="15" customFormat="false" ht="15" hidden="false" customHeight="false" outlineLevel="0" collapsed="false">
      <c r="A15" s="12" t="s">
        <v>84</v>
      </c>
      <c r="B15" s="13" t="s">
        <v>85</v>
      </c>
      <c r="C15" s="15" t="n">
        <v>90</v>
      </c>
      <c r="D15" s="15" t="n">
        <v>40</v>
      </c>
      <c r="E15" s="15" t="n">
        <v>46</v>
      </c>
      <c r="F15" s="14" t="s">
        <v>58</v>
      </c>
      <c r="G15" s="14" t="s">
        <v>40</v>
      </c>
      <c r="H15" s="18" t="s">
        <v>86</v>
      </c>
      <c r="I15" s="15"/>
      <c r="J15" s="15"/>
      <c r="K15" s="15"/>
      <c r="L15" s="15"/>
      <c r="M15" s="19" t="s">
        <v>87</v>
      </c>
      <c r="N15" s="13" t="s">
        <v>85</v>
      </c>
      <c r="O15" s="16" t="s">
        <v>88</v>
      </c>
      <c r="P15" s="17" t="n">
        <f aca="false">$C15*稀有度!$G$4*稀有度!$D$4</f>
        <v>135</v>
      </c>
      <c r="Q15" s="17" t="n">
        <f aca="false">$C15*稀有度!$G$4*稀有度!$D$5</f>
        <v>270</v>
      </c>
      <c r="R15" s="17" t="n">
        <f aca="false">$C15*稀有度!$G$4*稀有度!$D$6</f>
        <v>540</v>
      </c>
      <c r="S15" s="17" t="n">
        <f aca="false">$C15*稀有度!$G$4*稀有度!$D$7</f>
        <v>1080</v>
      </c>
      <c r="T15" s="17" t="n">
        <f aca="false">$C15*稀有度!$G$4*稀有度!$D$8</f>
        <v>2160</v>
      </c>
      <c r="U15" s="17" t="n">
        <f aca="false">$C15*稀有度!$G$4*稀有度!$D$9</f>
        <v>4320</v>
      </c>
      <c r="V15" s="17" t="n">
        <f aca="false">$C15*稀有度!$G$4*稀有度!$D$10</f>
        <v>8100</v>
      </c>
      <c r="W15" s="17" t="n">
        <f aca="false">$C15*稀有度!$G$4*稀有度!$D$11</f>
        <v>14850</v>
      </c>
      <c r="X15" s="17" t="n">
        <f aca="false">$C15*稀有度!$G$4*稀有度!$D$12</f>
        <v>27000</v>
      </c>
      <c r="Y15" s="17" t="n">
        <f aca="false">$C15*稀有度!$G$4*稀有度!$D$13</f>
        <v>54000</v>
      </c>
    </row>
    <row r="16" customFormat="false" ht="15" hidden="false" customHeight="false" outlineLevel="0" collapsed="false">
      <c r="A16" s="12" t="s">
        <v>89</v>
      </c>
      <c r="B16" s="13" t="s">
        <v>90</v>
      </c>
      <c r="C16" s="15" t="n">
        <v>6</v>
      </c>
      <c r="D16" s="15" t="n">
        <v>95</v>
      </c>
      <c r="E16" s="15" t="n">
        <v>24</v>
      </c>
      <c r="F16" s="15" t="s">
        <v>27</v>
      </c>
      <c r="G16" s="14" t="s">
        <v>40</v>
      </c>
      <c r="H16" s="18" t="s">
        <v>91</v>
      </c>
      <c r="I16" s="15"/>
      <c r="J16" s="15"/>
      <c r="K16" s="15"/>
      <c r="L16" s="15"/>
      <c r="M16" s="16" t="s">
        <v>92</v>
      </c>
      <c r="N16" s="13" t="s">
        <v>90</v>
      </c>
      <c r="O16" s="16" t="s">
        <v>93</v>
      </c>
      <c r="P16" s="17" t="n">
        <f aca="false">$C16*稀有度!$G$4*稀有度!$D$4</f>
        <v>9</v>
      </c>
      <c r="Q16" s="17" t="n">
        <f aca="false">$C16*稀有度!$G$4*稀有度!$D$5</f>
        <v>18</v>
      </c>
      <c r="R16" s="17" t="n">
        <f aca="false">$C16*稀有度!$G$4*稀有度!$D$6</f>
        <v>36</v>
      </c>
      <c r="S16" s="17" t="n">
        <f aca="false">$C16*稀有度!$G$4*稀有度!$D$7</f>
        <v>72</v>
      </c>
      <c r="T16" s="17" t="n">
        <f aca="false">$C16*稀有度!$G$4*稀有度!$D$8</f>
        <v>144</v>
      </c>
      <c r="U16" s="17" t="n">
        <f aca="false">$C16*稀有度!$G$4*稀有度!$D$9</f>
        <v>288</v>
      </c>
      <c r="V16" s="17" t="n">
        <f aca="false">$C16*稀有度!$G$4*稀有度!$D$10</f>
        <v>540</v>
      </c>
      <c r="W16" s="17" t="n">
        <f aca="false">$C16*稀有度!$G$4*稀有度!$D$11</f>
        <v>990</v>
      </c>
      <c r="X16" s="17" t="n">
        <f aca="false">$C16*稀有度!$G$4*稀有度!$D$12</f>
        <v>1800</v>
      </c>
      <c r="Y16" s="17" t="n">
        <f aca="false">$C16*稀有度!$G$4*稀有度!$D$13</f>
        <v>3600</v>
      </c>
    </row>
    <row r="17" customFormat="false" ht="15" hidden="false" customHeight="false" outlineLevel="0" collapsed="false">
      <c r="A17" s="12" t="s">
        <v>94</v>
      </c>
      <c r="B17" s="13" t="s">
        <v>95</v>
      </c>
      <c r="C17" s="15" t="n">
        <v>6</v>
      </c>
      <c r="D17" s="15" t="n">
        <v>62</v>
      </c>
      <c r="E17" s="15" t="n">
        <v>22</v>
      </c>
      <c r="F17" s="15" t="s">
        <v>27</v>
      </c>
      <c r="G17" s="15"/>
      <c r="H17" s="13"/>
      <c r="I17" s="15"/>
      <c r="J17" s="15"/>
      <c r="K17" s="15"/>
      <c r="L17" s="15"/>
      <c r="M17" s="16" t="s">
        <v>96</v>
      </c>
      <c r="N17" s="13" t="s">
        <v>95</v>
      </c>
      <c r="O17" s="16" t="s">
        <v>97</v>
      </c>
      <c r="P17" s="17" t="n">
        <f aca="false">$C17*稀有度!$G$4*稀有度!$D$4</f>
        <v>9</v>
      </c>
      <c r="Q17" s="17" t="n">
        <f aca="false">$C17*稀有度!$G$4*稀有度!$D$5</f>
        <v>18</v>
      </c>
      <c r="R17" s="17" t="n">
        <f aca="false">$C17*稀有度!$G$4*稀有度!$D$6</f>
        <v>36</v>
      </c>
      <c r="S17" s="17" t="n">
        <f aca="false">$C17*稀有度!$G$4*稀有度!$D$7</f>
        <v>72</v>
      </c>
      <c r="T17" s="17" t="n">
        <f aca="false">$C17*稀有度!$G$4*稀有度!$D$8</f>
        <v>144</v>
      </c>
      <c r="U17" s="17" t="n">
        <f aca="false">$C17*稀有度!$G$4*稀有度!$D$9</f>
        <v>288</v>
      </c>
      <c r="V17" s="17" t="n">
        <f aca="false">$C17*稀有度!$G$4*稀有度!$D$10</f>
        <v>540</v>
      </c>
      <c r="W17" s="17" t="n">
        <f aca="false">$C17*稀有度!$G$4*稀有度!$D$11</f>
        <v>990</v>
      </c>
      <c r="X17" s="17" t="n">
        <f aca="false">$C17*稀有度!$G$4*稀有度!$D$12</f>
        <v>1800</v>
      </c>
      <c r="Y17" s="17" t="n">
        <f aca="false">$C17*稀有度!$G$4*稀有度!$D$13</f>
        <v>3600</v>
      </c>
    </row>
    <row r="18" customFormat="false" ht="15" hidden="false" customHeight="false" outlineLevel="0" collapsed="false">
      <c r="A18" s="12" t="s">
        <v>98</v>
      </c>
      <c r="B18" s="13" t="s">
        <v>99</v>
      </c>
      <c r="C18" s="15" t="n">
        <v>11</v>
      </c>
      <c r="D18" s="15" t="n">
        <v>45</v>
      </c>
      <c r="E18" s="15" t="n">
        <v>28</v>
      </c>
      <c r="F18" s="15" t="s">
        <v>27</v>
      </c>
      <c r="G18" s="15"/>
      <c r="H18" s="13"/>
      <c r="I18" s="15"/>
      <c r="J18" s="15"/>
      <c r="K18" s="15"/>
      <c r="L18" s="14" t="s">
        <v>40</v>
      </c>
      <c r="M18" s="16" t="s">
        <v>100</v>
      </c>
      <c r="N18" s="13" t="s">
        <v>99</v>
      </c>
      <c r="O18" s="16" t="s">
        <v>101</v>
      </c>
      <c r="P18" s="17" t="n">
        <f aca="false">$C18*稀有度!$G$4*稀有度!$D$4</f>
        <v>16.5</v>
      </c>
      <c r="Q18" s="17" t="n">
        <f aca="false">$C18*稀有度!$G$4*稀有度!$D$5</f>
        <v>33</v>
      </c>
      <c r="R18" s="17" t="n">
        <f aca="false">$C18*稀有度!$G$4*稀有度!$D$6</f>
        <v>66</v>
      </c>
      <c r="S18" s="17" t="n">
        <f aca="false">$C18*稀有度!$G$4*稀有度!$D$7</f>
        <v>132</v>
      </c>
      <c r="T18" s="17" t="n">
        <f aca="false">$C18*稀有度!$G$4*稀有度!$D$8</f>
        <v>264</v>
      </c>
      <c r="U18" s="17" t="n">
        <f aca="false">$C18*稀有度!$G$4*稀有度!$D$9</f>
        <v>528</v>
      </c>
      <c r="V18" s="17" t="n">
        <f aca="false">$C18*稀有度!$G$4*稀有度!$D$10</f>
        <v>990</v>
      </c>
      <c r="W18" s="17" t="n">
        <f aca="false">$C18*稀有度!$G$4*稀有度!$D$11</f>
        <v>1815</v>
      </c>
      <c r="X18" s="17" t="n">
        <f aca="false">$C18*稀有度!$G$4*稀有度!$D$12</f>
        <v>3300</v>
      </c>
      <c r="Y18" s="17" t="n">
        <f aca="false">$C18*稀有度!$G$4*稀有度!$D$13</f>
        <v>6600</v>
      </c>
    </row>
    <row r="19" customFormat="false" ht="15" hidden="false" customHeight="false" outlineLevel="0" collapsed="false">
      <c r="A19" s="12" t="s">
        <v>102</v>
      </c>
      <c r="B19" s="13" t="s">
        <v>103</v>
      </c>
      <c r="C19" s="15" t="n">
        <v>5</v>
      </c>
      <c r="D19" s="15" t="n">
        <v>70</v>
      </c>
      <c r="E19" s="15" t="n">
        <v>20</v>
      </c>
      <c r="F19" s="15" t="s">
        <v>27</v>
      </c>
      <c r="G19" s="15"/>
      <c r="H19" s="13"/>
      <c r="I19" s="15"/>
      <c r="J19" s="15"/>
      <c r="K19" s="14" t="s">
        <v>40</v>
      </c>
      <c r="L19" s="15"/>
      <c r="M19" s="16" t="s">
        <v>104</v>
      </c>
      <c r="N19" s="13" t="s">
        <v>103</v>
      </c>
      <c r="O19" s="16" t="s">
        <v>105</v>
      </c>
      <c r="P19" s="17" t="n">
        <f aca="false">$C19*稀有度!$G$4*稀有度!$D$4</f>
        <v>7.5</v>
      </c>
      <c r="Q19" s="17" t="n">
        <f aca="false">$C19*稀有度!$G$4*稀有度!$D$5</f>
        <v>15</v>
      </c>
      <c r="R19" s="17" t="n">
        <f aca="false">$C19*稀有度!$G$4*稀有度!$D$6</f>
        <v>30</v>
      </c>
      <c r="S19" s="17" t="n">
        <f aca="false">$C19*稀有度!$G$4*稀有度!$D$7</f>
        <v>60</v>
      </c>
      <c r="T19" s="17" t="n">
        <f aca="false">$C19*稀有度!$G$4*稀有度!$D$8</f>
        <v>120</v>
      </c>
      <c r="U19" s="17" t="n">
        <f aca="false">$C19*稀有度!$G$4*稀有度!$D$9</f>
        <v>240</v>
      </c>
      <c r="V19" s="17" t="n">
        <f aca="false">$C19*稀有度!$G$4*稀有度!$D$10</f>
        <v>450</v>
      </c>
      <c r="W19" s="17" t="n">
        <f aca="false">$C19*稀有度!$G$4*稀有度!$D$11</f>
        <v>825</v>
      </c>
      <c r="X19" s="17" t="n">
        <f aca="false">$C19*稀有度!$G$4*稀有度!$D$12</f>
        <v>1500</v>
      </c>
      <c r="Y19" s="17" t="n">
        <f aca="false">$C19*稀有度!$G$4*稀有度!$D$13</f>
        <v>3000</v>
      </c>
    </row>
    <row r="20" customFormat="false" ht="15" hidden="false" customHeight="false" outlineLevel="0" collapsed="false">
      <c r="A20" s="12" t="s">
        <v>106</v>
      </c>
      <c r="B20" s="13" t="s">
        <v>107</v>
      </c>
      <c r="C20" s="15" t="n">
        <v>5</v>
      </c>
      <c r="D20" s="15" t="n">
        <v>60</v>
      </c>
      <c r="E20" s="15" t="n">
        <v>24</v>
      </c>
      <c r="F20" s="15" t="s">
        <v>27</v>
      </c>
      <c r="G20" s="14" t="s">
        <v>40</v>
      </c>
      <c r="H20" s="18" t="s">
        <v>108</v>
      </c>
      <c r="I20" s="15"/>
      <c r="J20" s="14" t="s">
        <v>40</v>
      </c>
      <c r="K20" s="15"/>
      <c r="L20" s="15"/>
      <c r="M20" s="16" t="s">
        <v>109</v>
      </c>
      <c r="N20" s="13" t="s">
        <v>107</v>
      </c>
      <c r="O20" s="16" t="s">
        <v>61</v>
      </c>
      <c r="P20" s="17" t="n">
        <f aca="false">$C20*稀有度!$G$4*稀有度!$D$4</f>
        <v>7.5</v>
      </c>
      <c r="Q20" s="17" t="n">
        <f aca="false">$C20*稀有度!$G$4*稀有度!$D$5</f>
        <v>15</v>
      </c>
      <c r="R20" s="17" t="n">
        <f aca="false">$C20*稀有度!$G$4*稀有度!$D$6</f>
        <v>30</v>
      </c>
      <c r="S20" s="17" t="n">
        <f aca="false">$C20*稀有度!$G$4*稀有度!$D$7</f>
        <v>60</v>
      </c>
      <c r="T20" s="17" t="n">
        <f aca="false">$C20*稀有度!$G$4*稀有度!$D$8</f>
        <v>120</v>
      </c>
      <c r="U20" s="17" t="n">
        <f aca="false">$C20*稀有度!$G$4*稀有度!$D$9</f>
        <v>240</v>
      </c>
      <c r="V20" s="17" t="n">
        <f aca="false">$C20*稀有度!$G$4*稀有度!$D$10</f>
        <v>450</v>
      </c>
      <c r="W20" s="17" t="n">
        <f aca="false">$C20*稀有度!$G$4*稀有度!$D$11</f>
        <v>825</v>
      </c>
      <c r="X20" s="17" t="n">
        <f aca="false">$C20*稀有度!$G$4*稀有度!$D$12</f>
        <v>1500</v>
      </c>
      <c r="Y20" s="17" t="n">
        <f aca="false">$C20*稀有度!$G$4*稀有度!$D$13</f>
        <v>3000</v>
      </c>
    </row>
    <row r="21" customFormat="false" ht="15" hidden="false" customHeight="false" outlineLevel="0" collapsed="false">
      <c r="A21" s="12" t="s">
        <v>110</v>
      </c>
      <c r="B21" s="13" t="s">
        <v>111</v>
      </c>
      <c r="C21" s="15" t="n">
        <v>6</v>
      </c>
      <c r="D21" s="15" t="n">
        <v>72</v>
      </c>
      <c r="E21" s="15" t="n">
        <v>20</v>
      </c>
      <c r="F21" s="15" t="s">
        <v>27</v>
      </c>
      <c r="G21" s="14" t="s">
        <v>40</v>
      </c>
      <c r="H21" s="18" t="s">
        <v>112</v>
      </c>
      <c r="I21" s="15"/>
      <c r="J21" s="15"/>
      <c r="K21" s="15"/>
      <c r="L21" s="15"/>
      <c r="M21" s="16" t="s">
        <v>113</v>
      </c>
      <c r="N21" s="13" t="s">
        <v>111</v>
      </c>
      <c r="O21" s="16" t="s">
        <v>114</v>
      </c>
      <c r="P21" s="17" t="n">
        <f aca="false">$C21*稀有度!$G$4*稀有度!$D$4</f>
        <v>9</v>
      </c>
      <c r="Q21" s="17" t="n">
        <f aca="false">$C21*稀有度!$G$4*稀有度!$D$5</f>
        <v>18</v>
      </c>
      <c r="R21" s="17" t="n">
        <f aca="false">$C21*稀有度!$G$4*稀有度!$D$6</f>
        <v>36</v>
      </c>
      <c r="S21" s="17" t="n">
        <f aca="false">$C21*稀有度!$G$4*稀有度!$D$7</f>
        <v>72</v>
      </c>
      <c r="T21" s="17" t="n">
        <f aca="false">$C21*稀有度!$G$4*稀有度!$D$8</f>
        <v>144</v>
      </c>
      <c r="U21" s="17" t="n">
        <f aca="false">$C21*稀有度!$G$4*稀有度!$D$9</f>
        <v>288</v>
      </c>
      <c r="V21" s="17" t="n">
        <f aca="false">$C21*稀有度!$G$4*稀有度!$D$10</f>
        <v>540</v>
      </c>
      <c r="W21" s="17" t="n">
        <f aca="false">$C21*稀有度!$G$4*稀有度!$D$11</f>
        <v>990</v>
      </c>
      <c r="X21" s="17" t="n">
        <f aca="false">$C21*稀有度!$G$4*稀有度!$D$12</f>
        <v>1800</v>
      </c>
      <c r="Y21" s="17" t="n">
        <f aca="false">$C21*稀有度!$G$4*稀有度!$D$13</f>
        <v>3600</v>
      </c>
    </row>
    <row r="22" customFormat="false" ht="29.85" hidden="false" customHeight="false" outlineLevel="0" collapsed="false">
      <c r="A22" s="12" t="s">
        <v>115</v>
      </c>
      <c r="B22" s="13" t="s">
        <v>116</v>
      </c>
      <c r="C22" s="15" t="n">
        <v>8</v>
      </c>
      <c r="D22" s="15" t="n">
        <v>55</v>
      </c>
      <c r="E22" s="15" t="n">
        <v>22</v>
      </c>
      <c r="F22" s="15" t="s">
        <v>27</v>
      </c>
      <c r="G22" s="14" t="s">
        <v>40</v>
      </c>
      <c r="H22" s="18" t="s">
        <v>117</v>
      </c>
      <c r="I22" s="14" t="s">
        <v>40</v>
      </c>
      <c r="J22" s="15"/>
      <c r="K22" s="15"/>
      <c r="L22" s="15"/>
      <c r="M22" s="16" t="s">
        <v>118</v>
      </c>
      <c r="N22" s="13" t="s">
        <v>116</v>
      </c>
      <c r="O22" s="16" t="s">
        <v>119</v>
      </c>
      <c r="P22" s="17" t="n">
        <f aca="false">$C22*稀有度!$G$4*稀有度!$D$4</f>
        <v>12</v>
      </c>
      <c r="Q22" s="17" t="n">
        <f aca="false">$C22*稀有度!$G$4*稀有度!$D$5</f>
        <v>24</v>
      </c>
      <c r="R22" s="17" t="n">
        <f aca="false">$C22*稀有度!$G$4*稀有度!$D$6</f>
        <v>48</v>
      </c>
      <c r="S22" s="17" t="n">
        <f aca="false">$C22*稀有度!$G$4*稀有度!$D$7</f>
        <v>96</v>
      </c>
      <c r="T22" s="17" t="n">
        <f aca="false">$C22*稀有度!$G$4*稀有度!$D$8</f>
        <v>192</v>
      </c>
      <c r="U22" s="17" t="n">
        <f aca="false">$C22*稀有度!$G$4*稀有度!$D$9</f>
        <v>384</v>
      </c>
      <c r="V22" s="17" t="n">
        <f aca="false">$C22*稀有度!$G$4*稀有度!$D$10</f>
        <v>720</v>
      </c>
      <c r="W22" s="17" t="n">
        <f aca="false">$C22*稀有度!$G$4*稀有度!$D$11</f>
        <v>1320</v>
      </c>
      <c r="X22" s="17" t="n">
        <f aca="false">$C22*稀有度!$G$4*稀有度!$D$12</f>
        <v>2400</v>
      </c>
      <c r="Y22" s="17" t="n">
        <f aca="false">$C22*稀有度!$G$4*稀有度!$D$13</f>
        <v>4800</v>
      </c>
    </row>
    <row r="23" customFormat="false" ht="15" hidden="false" customHeight="false" outlineLevel="0" collapsed="false">
      <c r="A23" s="12" t="s">
        <v>120</v>
      </c>
      <c r="B23" s="13" t="s">
        <v>121</v>
      </c>
      <c r="C23" s="15" t="n">
        <v>14</v>
      </c>
      <c r="D23" s="15" t="n">
        <v>50</v>
      </c>
      <c r="E23" s="15" t="n">
        <v>26</v>
      </c>
      <c r="F23" s="15" t="s">
        <v>27</v>
      </c>
      <c r="G23" s="15"/>
      <c r="H23" s="13"/>
      <c r="I23" s="15"/>
      <c r="J23" s="15"/>
      <c r="K23" s="15"/>
      <c r="L23" s="15"/>
      <c r="M23" s="16" t="s">
        <v>122</v>
      </c>
      <c r="N23" s="13" t="s">
        <v>121</v>
      </c>
      <c r="O23" s="16" t="s">
        <v>119</v>
      </c>
      <c r="P23" s="17" t="n">
        <f aca="false">$C23*稀有度!$G$4*稀有度!$D$4</f>
        <v>21</v>
      </c>
      <c r="Q23" s="17" t="n">
        <f aca="false">$C23*稀有度!$G$4*稀有度!$D$5</f>
        <v>42</v>
      </c>
      <c r="R23" s="17" t="n">
        <f aca="false">$C23*稀有度!$G$4*稀有度!$D$6</f>
        <v>84</v>
      </c>
      <c r="S23" s="17" t="n">
        <f aca="false">$C23*稀有度!$G$4*稀有度!$D$7</f>
        <v>168</v>
      </c>
      <c r="T23" s="17" t="n">
        <f aca="false">$C23*稀有度!$G$4*稀有度!$D$8</f>
        <v>336</v>
      </c>
      <c r="U23" s="17" t="n">
        <f aca="false">$C23*稀有度!$G$4*稀有度!$D$9</f>
        <v>672</v>
      </c>
      <c r="V23" s="17" t="n">
        <f aca="false">$C23*稀有度!$G$4*稀有度!$D$10</f>
        <v>1260</v>
      </c>
      <c r="W23" s="17" t="n">
        <f aca="false">$C23*稀有度!$G$4*稀有度!$D$11</f>
        <v>2310</v>
      </c>
      <c r="X23" s="17" t="n">
        <f aca="false">$C23*稀有度!$G$4*稀有度!$D$12</f>
        <v>4200</v>
      </c>
      <c r="Y23" s="17" t="n">
        <f aca="false">$C23*稀有度!$G$4*稀有度!$D$13</f>
        <v>8400</v>
      </c>
    </row>
    <row r="24" customFormat="false" ht="15" hidden="false" customHeight="false" outlineLevel="0" collapsed="false">
      <c r="A24" s="12" t="s">
        <v>123</v>
      </c>
      <c r="B24" s="13" t="s">
        <v>124</v>
      </c>
      <c r="C24" s="15" t="n">
        <v>5</v>
      </c>
      <c r="D24" s="15" t="n">
        <v>85</v>
      </c>
      <c r="E24" s="15" t="n">
        <v>20</v>
      </c>
      <c r="F24" s="15" t="s">
        <v>27</v>
      </c>
      <c r="G24" s="15"/>
      <c r="H24" s="13"/>
      <c r="I24" s="15"/>
      <c r="J24" s="15"/>
      <c r="K24" s="15"/>
      <c r="L24" s="15"/>
      <c r="M24" s="16" t="s">
        <v>125</v>
      </c>
      <c r="N24" s="13" t="s">
        <v>124</v>
      </c>
      <c r="O24" s="16" t="s">
        <v>29</v>
      </c>
      <c r="P24" s="17" t="n">
        <f aca="false">$C24*稀有度!$G$4*稀有度!$D$4</f>
        <v>7.5</v>
      </c>
      <c r="Q24" s="17" t="n">
        <f aca="false">$C24*稀有度!$G$4*稀有度!$D$5</f>
        <v>15</v>
      </c>
      <c r="R24" s="17" t="n">
        <f aca="false">$C24*稀有度!$G$4*稀有度!$D$6</f>
        <v>30</v>
      </c>
      <c r="S24" s="17" t="n">
        <f aca="false">$C24*稀有度!$G$4*稀有度!$D$7</f>
        <v>60</v>
      </c>
      <c r="T24" s="17" t="n">
        <f aca="false">$C24*稀有度!$G$4*稀有度!$D$8</f>
        <v>120</v>
      </c>
      <c r="U24" s="17" t="n">
        <f aca="false">$C24*稀有度!$G$4*稀有度!$D$9</f>
        <v>240</v>
      </c>
      <c r="V24" s="17" t="n">
        <f aca="false">$C24*稀有度!$G$4*稀有度!$D$10</f>
        <v>450</v>
      </c>
      <c r="W24" s="17" t="n">
        <f aca="false">$C24*稀有度!$G$4*稀有度!$D$11</f>
        <v>825</v>
      </c>
      <c r="X24" s="17" t="n">
        <f aca="false">$C24*稀有度!$G$4*稀有度!$D$12</f>
        <v>1500</v>
      </c>
      <c r="Y24" s="17" t="n">
        <f aca="false">$C24*稀有度!$G$4*稀有度!$D$13</f>
        <v>3000</v>
      </c>
    </row>
    <row r="25" customFormat="false" ht="15" hidden="false" customHeight="false" outlineLevel="0" collapsed="false">
      <c r="A25" s="12" t="s">
        <v>126</v>
      </c>
      <c r="B25" s="13" t="s">
        <v>127</v>
      </c>
      <c r="C25" s="15" t="n">
        <v>9</v>
      </c>
      <c r="D25" s="15" t="n">
        <v>62</v>
      </c>
      <c r="E25" s="15" t="n">
        <v>24</v>
      </c>
      <c r="F25" s="15" t="s">
        <v>27</v>
      </c>
      <c r="G25" s="15"/>
      <c r="H25" s="13"/>
      <c r="I25" s="15"/>
      <c r="J25" s="14" t="s">
        <v>40</v>
      </c>
      <c r="K25" s="15"/>
      <c r="L25" s="15"/>
      <c r="M25" s="16" t="s">
        <v>128</v>
      </c>
      <c r="N25" s="13" t="s">
        <v>127</v>
      </c>
      <c r="O25" s="16" t="s">
        <v>83</v>
      </c>
      <c r="P25" s="17" t="n">
        <f aca="false">$C25*稀有度!$G$4*稀有度!$D$4</f>
        <v>13.5</v>
      </c>
      <c r="Q25" s="17" t="n">
        <f aca="false">$C25*稀有度!$G$4*稀有度!$D$5</f>
        <v>27</v>
      </c>
      <c r="R25" s="17" t="n">
        <f aca="false">$C25*稀有度!$G$4*稀有度!$D$6</f>
        <v>54</v>
      </c>
      <c r="S25" s="17" t="n">
        <f aca="false">$C25*稀有度!$G$4*稀有度!$D$7</f>
        <v>108</v>
      </c>
      <c r="T25" s="17" t="n">
        <f aca="false">$C25*稀有度!$G$4*稀有度!$D$8</f>
        <v>216</v>
      </c>
      <c r="U25" s="17" t="n">
        <f aca="false">$C25*稀有度!$G$4*稀有度!$D$9</f>
        <v>432</v>
      </c>
      <c r="V25" s="17" t="n">
        <f aca="false">$C25*稀有度!$G$4*稀有度!$D$10</f>
        <v>810</v>
      </c>
      <c r="W25" s="17" t="n">
        <f aca="false">$C25*稀有度!$G$4*稀有度!$D$11</f>
        <v>1485</v>
      </c>
      <c r="X25" s="17" t="n">
        <f aca="false">$C25*稀有度!$G$4*稀有度!$D$12</f>
        <v>2700</v>
      </c>
      <c r="Y25" s="17" t="n">
        <f aca="false">$C25*稀有度!$G$4*稀有度!$D$13</f>
        <v>5400</v>
      </c>
    </row>
    <row r="26" customFormat="false" ht="29.85" hidden="false" customHeight="false" outlineLevel="0" collapsed="false">
      <c r="A26" s="12" t="s">
        <v>129</v>
      </c>
      <c r="B26" s="13" t="s">
        <v>130</v>
      </c>
      <c r="C26" s="15" t="n">
        <v>2</v>
      </c>
      <c r="D26" s="15" t="n">
        <v>135</v>
      </c>
      <c r="E26" s="15" t="n">
        <v>13</v>
      </c>
      <c r="F26" s="15" t="s">
        <v>27</v>
      </c>
      <c r="G26" s="15"/>
      <c r="H26" s="13"/>
      <c r="I26" s="14" t="s">
        <v>40</v>
      </c>
      <c r="J26" s="15"/>
      <c r="K26" s="15"/>
      <c r="L26" s="15"/>
      <c r="M26" s="16" t="s">
        <v>131</v>
      </c>
      <c r="N26" s="13" t="s">
        <v>130</v>
      </c>
      <c r="O26" s="16" t="s">
        <v>69</v>
      </c>
      <c r="P26" s="17" t="n">
        <f aca="false">$C26*稀有度!$G$4*稀有度!$D$4</f>
        <v>3</v>
      </c>
      <c r="Q26" s="17" t="n">
        <f aca="false">$C26*稀有度!$G$4*稀有度!$D$5</f>
        <v>6</v>
      </c>
      <c r="R26" s="17" t="n">
        <f aca="false">$C26*稀有度!$G$4*稀有度!$D$6</f>
        <v>12</v>
      </c>
      <c r="S26" s="17" t="n">
        <f aca="false">$C26*稀有度!$G$4*稀有度!$D$7</f>
        <v>24</v>
      </c>
      <c r="T26" s="17" t="n">
        <f aca="false">$C26*稀有度!$G$4*稀有度!$D$8</f>
        <v>48</v>
      </c>
      <c r="U26" s="17" t="n">
        <f aca="false">$C26*稀有度!$G$4*稀有度!$D$9</f>
        <v>96</v>
      </c>
      <c r="V26" s="17" t="n">
        <f aca="false">$C26*稀有度!$G$4*稀有度!$D$10</f>
        <v>180</v>
      </c>
      <c r="W26" s="17" t="n">
        <f aca="false">$C26*稀有度!$G$4*稀有度!$D$11</f>
        <v>330</v>
      </c>
      <c r="X26" s="17" t="n">
        <f aca="false">$C26*稀有度!$G$4*稀有度!$D$12</f>
        <v>600</v>
      </c>
      <c r="Y26" s="17" t="n">
        <f aca="false">$C26*稀有度!$G$4*稀有度!$D$13</f>
        <v>1200</v>
      </c>
    </row>
    <row r="27" customFormat="false" ht="29.85" hidden="false" customHeight="false" outlineLevel="0" collapsed="false">
      <c r="A27" s="12" t="s">
        <v>132</v>
      </c>
      <c r="B27" s="13" t="s">
        <v>133</v>
      </c>
      <c r="C27" s="15" t="n">
        <v>9</v>
      </c>
      <c r="D27" s="15" t="n">
        <v>70</v>
      </c>
      <c r="E27" s="15" t="n">
        <v>22</v>
      </c>
      <c r="F27" s="15" t="s">
        <v>27</v>
      </c>
      <c r="G27" s="14" t="s">
        <v>40</v>
      </c>
      <c r="H27" s="18" t="s">
        <v>134</v>
      </c>
      <c r="I27" s="14" t="s">
        <v>40</v>
      </c>
      <c r="J27" s="15"/>
      <c r="K27" s="15"/>
      <c r="L27" s="15"/>
      <c r="M27" s="16" t="s">
        <v>135</v>
      </c>
      <c r="N27" s="13" t="s">
        <v>133</v>
      </c>
      <c r="O27" s="16" t="s">
        <v>97</v>
      </c>
      <c r="P27" s="17" t="n">
        <f aca="false">$C27*稀有度!$G$4*稀有度!$D$4</f>
        <v>13.5</v>
      </c>
      <c r="Q27" s="17" t="n">
        <f aca="false">$C27*稀有度!$G$4*稀有度!$D$5</f>
        <v>27</v>
      </c>
      <c r="R27" s="17" t="n">
        <f aca="false">$C27*稀有度!$G$4*稀有度!$D$6</f>
        <v>54</v>
      </c>
      <c r="S27" s="17" t="n">
        <f aca="false">$C27*稀有度!$G$4*稀有度!$D$7</f>
        <v>108</v>
      </c>
      <c r="T27" s="17" t="n">
        <f aca="false">$C27*稀有度!$G$4*稀有度!$D$8</f>
        <v>216</v>
      </c>
      <c r="U27" s="17" t="n">
        <f aca="false">$C27*稀有度!$G$4*稀有度!$D$9</f>
        <v>432</v>
      </c>
      <c r="V27" s="17" t="n">
        <f aca="false">$C27*稀有度!$G$4*稀有度!$D$10</f>
        <v>810</v>
      </c>
      <c r="W27" s="17" t="n">
        <f aca="false">$C27*稀有度!$G$4*稀有度!$D$11</f>
        <v>1485</v>
      </c>
      <c r="X27" s="17" t="n">
        <f aca="false">$C27*稀有度!$G$4*稀有度!$D$12</f>
        <v>2700</v>
      </c>
      <c r="Y27" s="17" t="n">
        <f aca="false">$C27*稀有度!$G$4*稀有度!$D$13</f>
        <v>5400</v>
      </c>
    </row>
    <row r="28" customFormat="false" ht="15" hidden="false" customHeight="false" outlineLevel="0" collapsed="false">
      <c r="A28" s="12" t="s">
        <v>136</v>
      </c>
      <c r="B28" s="13" t="s">
        <v>137</v>
      </c>
      <c r="C28" s="15" t="n">
        <v>9</v>
      </c>
      <c r="D28" s="15" t="n">
        <v>60</v>
      </c>
      <c r="E28" s="15" t="n">
        <v>24</v>
      </c>
      <c r="F28" s="15" t="s">
        <v>27</v>
      </c>
      <c r="G28" s="15"/>
      <c r="H28" s="13"/>
      <c r="I28" s="15"/>
      <c r="J28" s="14" t="s">
        <v>40</v>
      </c>
      <c r="K28" s="14" t="s">
        <v>40</v>
      </c>
      <c r="L28" s="15"/>
      <c r="M28" s="16" t="s">
        <v>138</v>
      </c>
      <c r="N28" s="13" t="s">
        <v>137</v>
      </c>
      <c r="O28" s="16" t="s">
        <v>61</v>
      </c>
      <c r="P28" s="17" t="n">
        <f aca="false">$C28*稀有度!$G$4*稀有度!$D$4</f>
        <v>13.5</v>
      </c>
      <c r="Q28" s="17" t="n">
        <f aca="false">$C28*稀有度!$G$4*稀有度!$D$5</f>
        <v>27</v>
      </c>
      <c r="R28" s="17" t="n">
        <f aca="false">$C28*稀有度!$G$4*稀有度!$D$6</f>
        <v>54</v>
      </c>
      <c r="S28" s="17" t="n">
        <f aca="false">$C28*稀有度!$G$4*稀有度!$D$7</f>
        <v>108</v>
      </c>
      <c r="T28" s="17" t="n">
        <f aca="false">$C28*稀有度!$G$4*稀有度!$D$8</f>
        <v>216</v>
      </c>
      <c r="U28" s="17" t="n">
        <f aca="false">$C28*稀有度!$G$4*稀有度!$D$9</f>
        <v>432</v>
      </c>
      <c r="V28" s="17" t="n">
        <f aca="false">$C28*稀有度!$G$4*稀有度!$D$10</f>
        <v>810</v>
      </c>
      <c r="W28" s="17" t="n">
        <f aca="false">$C28*稀有度!$G$4*稀有度!$D$11</f>
        <v>1485</v>
      </c>
      <c r="X28" s="17" t="n">
        <f aca="false">$C28*稀有度!$G$4*稀有度!$D$12</f>
        <v>2700</v>
      </c>
      <c r="Y28" s="17" t="n">
        <f aca="false">$C28*稀有度!$G$4*稀有度!$D$13</f>
        <v>5400</v>
      </c>
    </row>
    <row r="29" customFormat="false" ht="15" hidden="false" customHeight="false" outlineLevel="0" collapsed="false">
      <c r="A29" s="12" t="s">
        <v>139</v>
      </c>
      <c r="B29" s="13" t="s">
        <v>140</v>
      </c>
      <c r="C29" s="15" t="n">
        <v>20</v>
      </c>
      <c r="D29" s="15" t="n">
        <v>45</v>
      </c>
      <c r="E29" s="15" t="n">
        <v>30</v>
      </c>
      <c r="F29" s="15" t="s">
        <v>27</v>
      </c>
      <c r="G29" s="15"/>
      <c r="H29" s="13"/>
      <c r="I29" s="15"/>
      <c r="J29" s="15"/>
      <c r="K29" s="15"/>
      <c r="L29" s="14" t="s">
        <v>40</v>
      </c>
      <c r="M29" s="16" t="s">
        <v>141</v>
      </c>
      <c r="N29" s="13" t="s">
        <v>140</v>
      </c>
      <c r="O29" s="16" t="s">
        <v>142</v>
      </c>
      <c r="P29" s="17" t="n">
        <f aca="false">$C29*稀有度!$G$4*稀有度!$D$4</f>
        <v>30</v>
      </c>
      <c r="Q29" s="17" t="n">
        <f aca="false">$C29*稀有度!$G$4*稀有度!$D$5</f>
        <v>60</v>
      </c>
      <c r="R29" s="17" t="n">
        <f aca="false">$C29*稀有度!$G$4*稀有度!$D$6</f>
        <v>120</v>
      </c>
      <c r="S29" s="17" t="n">
        <f aca="false">$C29*稀有度!$G$4*稀有度!$D$7</f>
        <v>240</v>
      </c>
      <c r="T29" s="17" t="n">
        <f aca="false">$C29*稀有度!$G$4*稀有度!$D$8</f>
        <v>480</v>
      </c>
      <c r="U29" s="17" t="n">
        <f aca="false">$C29*稀有度!$G$4*稀有度!$D$9</f>
        <v>960</v>
      </c>
      <c r="V29" s="17" t="n">
        <f aca="false">$C29*稀有度!$G$4*稀有度!$D$10</f>
        <v>1800</v>
      </c>
      <c r="W29" s="17" t="n">
        <f aca="false">$C29*稀有度!$G$4*稀有度!$D$11</f>
        <v>3300</v>
      </c>
      <c r="X29" s="17" t="n">
        <f aca="false">$C29*稀有度!$G$4*稀有度!$D$12</f>
        <v>6000</v>
      </c>
      <c r="Y29" s="17" t="n">
        <f aca="false">$C29*稀有度!$G$4*稀有度!$D$13</f>
        <v>12000</v>
      </c>
    </row>
    <row r="31" customFormat="false" ht="15" hidden="false" customHeight="false" outlineLevel="0" collapsed="false">
      <c r="A31" s="20" t="s">
        <v>143</v>
      </c>
    </row>
  </sheetData>
  <autoFilter ref="A1:Y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46"/>
    <col collapsed="false" customWidth="true" hidden="false" outlineLevel="0" max="17" min="8" style="0" width="10"/>
  </cols>
  <sheetData>
    <row r="1" customFormat="false" ht="30" hidden="false" customHeight="true" outlineLevel="0" collapsed="false">
      <c r="A1" s="1" t="s">
        <v>144</v>
      </c>
      <c r="B1" s="1" t="s">
        <v>0</v>
      </c>
      <c r="C1" s="1" t="s">
        <v>1</v>
      </c>
      <c r="D1" s="1" t="s">
        <v>145</v>
      </c>
      <c r="E1" s="1" t="s">
        <v>146</v>
      </c>
      <c r="F1" s="1" t="s">
        <v>147</v>
      </c>
      <c r="G1" s="1" t="s">
        <v>148</v>
      </c>
      <c r="H1" s="2" t="s">
        <v>149</v>
      </c>
      <c r="I1" s="3" t="s">
        <v>150</v>
      </c>
      <c r="J1" s="4" t="s">
        <v>151</v>
      </c>
      <c r="K1" s="5" t="s">
        <v>152</v>
      </c>
      <c r="L1" s="6" t="s">
        <v>153</v>
      </c>
      <c r="M1" s="7" t="s">
        <v>154</v>
      </c>
      <c r="N1" s="8" t="s">
        <v>155</v>
      </c>
      <c r="O1" s="9" t="s">
        <v>156</v>
      </c>
      <c r="P1" s="10" t="s">
        <v>157</v>
      </c>
      <c r="Q1" s="11" t="s">
        <v>158</v>
      </c>
    </row>
    <row r="2" customFormat="false" ht="15" hidden="false" customHeight="false" outlineLevel="0" collapsed="false">
      <c r="A2" s="15" t="n">
        <v>1</v>
      </c>
      <c r="B2" s="12" t="s">
        <v>159</v>
      </c>
      <c r="C2" s="13" t="s">
        <v>160</v>
      </c>
      <c r="D2" s="15" t="s">
        <v>161</v>
      </c>
      <c r="E2" s="21" t="n">
        <v>2</v>
      </c>
      <c r="F2" s="15" t="s">
        <v>162</v>
      </c>
      <c r="G2" s="16" t="s">
        <v>163</v>
      </c>
      <c r="H2" s="17" t="n">
        <f aca="false">$E2*稀有度!$C$4</f>
        <v>2</v>
      </c>
      <c r="I2" s="17" t="n">
        <f aca="false">$E2*稀有度!$C$5</f>
        <v>3</v>
      </c>
      <c r="J2" s="17" t="n">
        <f aca="false">$E2*稀有度!$C$6</f>
        <v>4.5</v>
      </c>
      <c r="K2" s="17" t="n">
        <f aca="false">$E2*稀有度!$C$7</f>
        <v>6.75</v>
      </c>
      <c r="L2" s="17" t="n">
        <f aca="false">$E2*稀有度!$C$8</f>
        <v>10.125</v>
      </c>
      <c r="M2" s="17" t="n">
        <f aca="false">$E2*稀有度!$C$9</f>
        <v>15.1875</v>
      </c>
      <c r="N2" s="17" t="n">
        <f aca="false">$E2*稀有度!$C$10</f>
        <v>22.78125</v>
      </c>
      <c r="O2" s="17" t="n">
        <f aca="false">$E2*稀有度!$C$11</f>
        <v>34.171875</v>
      </c>
      <c r="P2" s="17" t="n">
        <f aca="false">$E2*稀有度!$C$12</f>
        <v>51.2578125</v>
      </c>
      <c r="Q2" s="17" t="n">
        <f aca="false">$E2*稀有度!$C$13</f>
        <v>76.88671875</v>
      </c>
    </row>
    <row r="3" customFormat="false" ht="15" hidden="false" customHeight="false" outlineLevel="0" collapsed="false">
      <c r="A3" s="15" t="n">
        <v>2</v>
      </c>
      <c r="B3" s="12" t="s">
        <v>164</v>
      </c>
      <c r="C3" s="13" t="s">
        <v>165</v>
      </c>
      <c r="D3" s="15" t="s">
        <v>161</v>
      </c>
      <c r="E3" s="21" t="n">
        <v>1.2</v>
      </c>
      <c r="F3" s="15" t="s">
        <v>162</v>
      </c>
      <c r="G3" s="16" t="s">
        <v>166</v>
      </c>
      <c r="H3" s="17" t="n">
        <f aca="false">$E3*稀有度!$C$4</f>
        <v>1.2</v>
      </c>
      <c r="I3" s="17" t="n">
        <f aca="false">$E3*稀有度!$C$5</f>
        <v>1.8</v>
      </c>
      <c r="J3" s="17" t="n">
        <f aca="false">$E3*稀有度!$C$6</f>
        <v>2.7</v>
      </c>
      <c r="K3" s="17" t="n">
        <f aca="false">$E3*稀有度!$C$7</f>
        <v>4.05</v>
      </c>
      <c r="L3" s="17" t="n">
        <f aca="false">$E3*稀有度!$C$8</f>
        <v>6.075</v>
      </c>
      <c r="M3" s="17" t="n">
        <f aca="false">$E3*稀有度!$C$9</f>
        <v>9.1125</v>
      </c>
      <c r="N3" s="17" t="n">
        <f aca="false">$E3*稀有度!$C$10</f>
        <v>13.66875</v>
      </c>
      <c r="O3" s="17" t="n">
        <f aca="false">$E3*稀有度!$C$11</f>
        <v>20.503125</v>
      </c>
      <c r="P3" s="17" t="n">
        <f aca="false">$E3*稀有度!$C$12</f>
        <v>30.7546875</v>
      </c>
      <c r="Q3" s="17" t="n">
        <f aca="false">$E3*稀有度!$C$13</f>
        <v>46.13203125</v>
      </c>
    </row>
    <row r="4" customFormat="false" ht="15" hidden="false" customHeight="false" outlineLevel="0" collapsed="false">
      <c r="A4" s="15" t="n">
        <v>3</v>
      </c>
      <c r="B4" s="12" t="s">
        <v>167</v>
      </c>
      <c r="C4" s="13" t="s">
        <v>168</v>
      </c>
      <c r="D4" s="15" t="s">
        <v>161</v>
      </c>
      <c r="E4" s="21" t="n">
        <v>3.2</v>
      </c>
      <c r="F4" s="15" t="s">
        <v>162</v>
      </c>
      <c r="G4" s="16" t="s">
        <v>169</v>
      </c>
      <c r="H4" s="17" t="n">
        <f aca="false">$E4*稀有度!$C$4</f>
        <v>3.2</v>
      </c>
      <c r="I4" s="17" t="n">
        <f aca="false">$E4*稀有度!$C$5</f>
        <v>4.8</v>
      </c>
      <c r="J4" s="17" t="n">
        <f aca="false">$E4*稀有度!$C$6</f>
        <v>7.2</v>
      </c>
      <c r="K4" s="17" t="n">
        <f aca="false">$E4*稀有度!$C$7</f>
        <v>10.8</v>
      </c>
      <c r="L4" s="17" t="n">
        <f aca="false">$E4*稀有度!$C$8</f>
        <v>16.2</v>
      </c>
      <c r="M4" s="17" t="n">
        <f aca="false">$E4*稀有度!$C$9</f>
        <v>24.3</v>
      </c>
      <c r="N4" s="17" t="n">
        <f aca="false">$E4*稀有度!$C$10</f>
        <v>36.45</v>
      </c>
      <c r="O4" s="17" t="n">
        <f aca="false">$E4*稀有度!$C$11</f>
        <v>54.675</v>
      </c>
      <c r="P4" s="17" t="n">
        <f aca="false">$E4*稀有度!$C$12</f>
        <v>82.0125</v>
      </c>
      <c r="Q4" s="17" t="n">
        <f aca="false">$E4*稀有度!$C$13</f>
        <v>123.01875</v>
      </c>
    </row>
    <row r="5" customFormat="false" ht="15" hidden="false" customHeight="false" outlineLevel="0" collapsed="false">
      <c r="A5" s="15" t="n">
        <v>4</v>
      </c>
      <c r="B5" s="12" t="s">
        <v>170</v>
      </c>
      <c r="C5" s="13" t="s">
        <v>171</v>
      </c>
      <c r="D5" s="15" t="s">
        <v>161</v>
      </c>
      <c r="E5" s="21" t="n">
        <v>1.6</v>
      </c>
      <c r="F5" s="15" t="s">
        <v>162</v>
      </c>
      <c r="G5" s="16" t="s">
        <v>172</v>
      </c>
      <c r="H5" s="17" t="n">
        <f aca="false">$E5*稀有度!$C$4</f>
        <v>1.6</v>
      </c>
      <c r="I5" s="17" t="n">
        <f aca="false">$E5*稀有度!$C$5</f>
        <v>2.4</v>
      </c>
      <c r="J5" s="17" t="n">
        <f aca="false">$E5*稀有度!$C$6</f>
        <v>3.6</v>
      </c>
      <c r="K5" s="17" t="n">
        <f aca="false">$E5*稀有度!$C$7</f>
        <v>5.4</v>
      </c>
      <c r="L5" s="17" t="n">
        <f aca="false">$E5*稀有度!$C$8</f>
        <v>8.1</v>
      </c>
      <c r="M5" s="17" t="n">
        <f aca="false">$E5*稀有度!$C$9</f>
        <v>12.15</v>
      </c>
      <c r="N5" s="17" t="n">
        <f aca="false">$E5*稀有度!$C$10</f>
        <v>18.225</v>
      </c>
      <c r="O5" s="17" t="n">
        <f aca="false">$E5*稀有度!$C$11</f>
        <v>27.3375</v>
      </c>
      <c r="P5" s="17" t="n">
        <f aca="false">$E5*稀有度!$C$12</f>
        <v>41.00625</v>
      </c>
      <c r="Q5" s="17" t="n">
        <f aca="false">$E5*稀有度!$C$13</f>
        <v>61.509375</v>
      </c>
    </row>
    <row r="6" customFormat="false" ht="15" hidden="false" customHeight="false" outlineLevel="0" collapsed="false">
      <c r="A6" s="15" t="n">
        <v>5</v>
      </c>
      <c r="B6" s="12" t="s">
        <v>173</v>
      </c>
      <c r="C6" s="13" t="s">
        <v>174</v>
      </c>
      <c r="D6" s="15" t="s">
        <v>161</v>
      </c>
      <c r="E6" s="21" t="n">
        <v>1.4</v>
      </c>
      <c r="F6" s="15" t="s">
        <v>162</v>
      </c>
      <c r="G6" s="16" t="s">
        <v>175</v>
      </c>
      <c r="H6" s="17" t="n">
        <f aca="false">$E6*稀有度!$C$4</f>
        <v>1.4</v>
      </c>
      <c r="I6" s="17" t="n">
        <f aca="false">$E6*稀有度!$C$5</f>
        <v>2.1</v>
      </c>
      <c r="J6" s="17" t="n">
        <f aca="false">$E6*稀有度!$C$6</f>
        <v>3.15</v>
      </c>
      <c r="K6" s="17" t="n">
        <f aca="false">$E6*稀有度!$C$7</f>
        <v>4.725</v>
      </c>
      <c r="L6" s="17" t="n">
        <f aca="false">$E6*稀有度!$C$8</f>
        <v>7.0875</v>
      </c>
      <c r="M6" s="17" t="n">
        <f aca="false">$E6*稀有度!$C$9</f>
        <v>10.63125</v>
      </c>
      <c r="N6" s="17" t="n">
        <f aca="false">$E6*稀有度!$C$10</f>
        <v>15.946875</v>
      </c>
      <c r="O6" s="17" t="n">
        <f aca="false">$E6*稀有度!$C$11</f>
        <v>23.9203125</v>
      </c>
      <c r="P6" s="17" t="n">
        <f aca="false">$E6*稀有度!$C$12</f>
        <v>35.88046875</v>
      </c>
      <c r="Q6" s="17" t="n">
        <f aca="false">$E6*稀有度!$C$13</f>
        <v>53.820703125</v>
      </c>
    </row>
    <row r="7" customFormat="false" ht="15" hidden="false" customHeight="false" outlineLevel="0" collapsed="false">
      <c r="A7" s="15" t="n">
        <v>6</v>
      </c>
      <c r="B7" s="12" t="s">
        <v>176</v>
      </c>
      <c r="C7" s="13" t="s">
        <v>177</v>
      </c>
      <c r="D7" s="15" t="s">
        <v>161</v>
      </c>
      <c r="E7" s="21" t="n">
        <v>1.8</v>
      </c>
      <c r="F7" s="15" t="s">
        <v>162</v>
      </c>
      <c r="G7" s="16" t="s">
        <v>178</v>
      </c>
      <c r="H7" s="17" t="n">
        <f aca="false">$E7*稀有度!$C$4</f>
        <v>1.8</v>
      </c>
      <c r="I7" s="17" t="n">
        <f aca="false">$E7*稀有度!$C$5</f>
        <v>2.7</v>
      </c>
      <c r="J7" s="17" t="n">
        <f aca="false">$E7*稀有度!$C$6</f>
        <v>4.05</v>
      </c>
      <c r="K7" s="17" t="n">
        <f aca="false">$E7*稀有度!$C$7</f>
        <v>6.075</v>
      </c>
      <c r="L7" s="17" t="n">
        <f aca="false">$E7*稀有度!$C$8</f>
        <v>9.1125</v>
      </c>
      <c r="M7" s="17" t="n">
        <f aca="false">$E7*稀有度!$C$9</f>
        <v>13.66875</v>
      </c>
      <c r="N7" s="17" t="n">
        <f aca="false">$E7*稀有度!$C$10</f>
        <v>20.503125</v>
      </c>
      <c r="O7" s="17" t="n">
        <f aca="false">$E7*稀有度!$C$11</f>
        <v>30.7546875</v>
      </c>
      <c r="P7" s="17" t="n">
        <f aca="false">$E7*稀有度!$C$12</f>
        <v>46.13203125</v>
      </c>
      <c r="Q7" s="17" t="n">
        <f aca="false">$E7*稀有度!$C$13</f>
        <v>69.198046875</v>
      </c>
    </row>
    <row r="8" customFormat="false" ht="15" hidden="false" customHeight="false" outlineLevel="0" collapsed="false">
      <c r="A8" s="15" t="n">
        <v>7</v>
      </c>
      <c r="B8" s="12" t="s">
        <v>179</v>
      </c>
      <c r="C8" s="13" t="s">
        <v>180</v>
      </c>
      <c r="D8" s="15" t="s">
        <v>161</v>
      </c>
      <c r="E8" s="21" t="n">
        <v>1.2</v>
      </c>
      <c r="F8" s="15" t="s">
        <v>162</v>
      </c>
      <c r="G8" s="16" t="s">
        <v>181</v>
      </c>
      <c r="H8" s="17" t="n">
        <f aca="false">$E8*稀有度!$C$4</f>
        <v>1.2</v>
      </c>
      <c r="I8" s="17" t="n">
        <f aca="false">$E8*稀有度!$C$5</f>
        <v>1.8</v>
      </c>
      <c r="J8" s="17" t="n">
        <f aca="false">$E8*稀有度!$C$6</f>
        <v>2.7</v>
      </c>
      <c r="K8" s="17" t="n">
        <f aca="false">$E8*稀有度!$C$7</f>
        <v>4.05</v>
      </c>
      <c r="L8" s="17" t="n">
        <f aca="false">$E8*稀有度!$C$8</f>
        <v>6.075</v>
      </c>
      <c r="M8" s="17" t="n">
        <f aca="false">$E8*稀有度!$C$9</f>
        <v>9.1125</v>
      </c>
      <c r="N8" s="17" t="n">
        <f aca="false">$E8*稀有度!$C$10</f>
        <v>13.66875</v>
      </c>
      <c r="O8" s="17" t="n">
        <f aca="false">$E8*稀有度!$C$11</f>
        <v>20.503125</v>
      </c>
      <c r="P8" s="17" t="n">
        <f aca="false">$E8*稀有度!$C$12</f>
        <v>30.7546875</v>
      </c>
      <c r="Q8" s="17" t="n">
        <f aca="false">$E8*稀有度!$C$13</f>
        <v>46.13203125</v>
      </c>
    </row>
    <row r="9" customFormat="false" ht="15" hidden="false" customHeight="false" outlineLevel="0" collapsed="false">
      <c r="A9" s="15" t="n">
        <v>8</v>
      </c>
      <c r="B9" s="12" t="s">
        <v>182</v>
      </c>
      <c r="C9" s="13" t="s">
        <v>183</v>
      </c>
      <c r="D9" s="15" t="s">
        <v>161</v>
      </c>
      <c r="E9" s="21" t="n">
        <v>1</v>
      </c>
      <c r="F9" s="15" t="s">
        <v>184</v>
      </c>
      <c r="G9" s="16" t="s">
        <v>185</v>
      </c>
      <c r="H9" s="17" t="n">
        <f aca="false">$E9*稀有度!$C$4</f>
        <v>1</v>
      </c>
      <c r="I9" s="17" t="n">
        <f aca="false">$E9*稀有度!$C$5</f>
        <v>1.5</v>
      </c>
      <c r="J9" s="17" t="n">
        <f aca="false">$E9*稀有度!$C$6</f>
        <v>2.25</v>
      </c>
      <c r="K9" s="17" t="n">
        <f aca="false">$E9*稀有度!$C$7</f>
        <v>3.375</v>
      </c>
      <c r="L9" s="17" t="n">
        <f aca="false">$E9*稀有度!$C$8</f>
        <v>5.0625</v>
      </c>
      <c r="M9" s="17" t="n">
        <f aca="false">$E9*稀有度!$C$9</f>
        <v>7.59375</v>
      </c>
      <c r="N9" s="17" t="n">
        <f aca="false">$E9*稀有度!$C$10</f>
        <v>11.390625</v>
      </c>
      <c r="O9" s="17" t="n">
        <f aca="false">$E9*稀有度!$C$11</f>
        <v>17.0859375</v>
      </c>
      <c r="P9" s="17" t="n">
        <f aca="false">$E9*稀有度!$C$12</f>
        <v>25.62890625</v>
      </c>
      <c r="Q9" s="17" t="n">
        <f aca="false">$E9*稀有度!$C$13</f>
        <v>38.443359375</v>
      </c>
    </row>
    <row r="10" customFormat="false" ht="15" hidden="false" customHeight="false" outlineLevel="0" collapsed="false">
      <c r="A10" s="15" t="n">
        <v>9</v>
      </c>
      <c r="B10" s="12" t="s">
        <v>186</v>
      </c>
      <c r="C10" s="13" t="s">
        <v>187</v>
      </c>
      <c r="D10" s="15" t="s">
        <v>161</v>
      </c>
      <c r="E10" s="21" t="n">
        <v>1.2</v>
      </c>
      <c r="F10" s="15" t="s">
        <v>162</v>
      </c>
      <c r="G10" s="16" t="s">
        <v>188</v>
      </c>
      <c r="H10" s="17" t="n">
        <f aca="false">$E10*稀有度!$C$4</f>
        <v>1.2</v>
      </c>
      <c r="I10" s="17" t="n">
        <f aca="false">$E10*稀有度!$C$5</f>
        <v>1.8</v>
      </c>
      <c r="J10" s="17" t="n">
        <f aca="false">$E10*稀有度!$C$6</f>
        <v>2.7</v>
      </c>
      <c r="K10" s="17" t="n">
        <f aca="false">$E10*稀有度!$C$7</f>
        <v>4.05</v>
      </c>
      <c r="L10" s="17" t="n">
        <f aca="false">$E10*稀有度!$C$8</f>
        <v>6.075</v>
      </c>
      <c r="M10" s="17" t="n">
        <f aca="false">$E10*稀有度!$C$9</f>
        <v>9.1125</v>
      </c>
      <c r="N10" s="17" t="n">
        <f aca="false">$E10*稀有度!$C$10</f>
        <v>13.66875</v>
      </c>
      <c r="O10" s="17" t="n">
        <f aca="false">$E10*稀有度!$C$11</f>
        <v>20.503125</v>
      </c>
      <c r="P10" s="17" t="n">
        <f aca="false">$E10*稀有度!$C$12</f>
        <v>30.7546875</v>
      </c>
      <c r="Q10" s="17" t="n">
        <f aca="false">$E10*稀有度!$C$13</f>
        <v>46.13203125</v>
      </c>
    </row>
    <row r="11" customFormat="false" ht="15" hidden="false" customHeight="false" outlineLevel="0" collapsed="false">
      <c r="A11" s="15" t="n">
        <v>10</v>
      </c>
      <c r="B11" s="12" t="s">
        <v>189</v>
      </c>
      <c r="C11" s="13" t="s">
        <v>190</v>
      </c>
      <c r="D11" s="15" t="s">
        <v>161</v>
      </c>
      <c r="E11" s="21" t="n">
        <v>1.6</v>
      </c>
      <c r="F11" s="15" t="s">
        <v>162</v>
      </c>
      <c r="G11" s="16" t="s">
        <v>191</v>
      </c>
      <c r="H11" s="17" t="n">
        <f aca="false">$E11*稀有度!$C$4</f>
        <v>1.6</v>
      </c>
      <c r="I11" s="17" t="n">
        <f aca="false">$E11*稀有度!$C$5</f>
        <v>2.4</v>
      </c>
      <c r="J11" s="17" t="n">
        <f aca="false">$E11*稀有度!$C$6</f>
        <v>3.6</v>
      </c>
      <c r="K11" s="17" t="n">
        <f aca="false">$E11*稀有度!$C$7</f>
        <v>5.4</v>
      </c>
      <c r="L11" s="17" t="n">
        <f aca="false">$E11*稀有度!$C$8</f>
        <v>8.1</v>
      </c>
      <c r="M11" s="17" t="n">
        <f aca="false">$E11*稀有度!$C$9</f>
        <v>12.15</v>
      </c>
      <c r="N11" s="17" t="n">
        <f aca="false">$E11*稀有度!$C$10</f>
        <v>18.225</v>
      </c>
      <c r="O11" s="17" t="n">
        <f aca="false">$E11*稀有度!$C$11</f>
        <v>27.3375</v>
      </c>
      <c r="P11" s="17" t="n">
        <f aca="false">$E11*稀有度!$C$12</f>
        <v>41.00625</v>
      </c>
      <c r="Q11" s="17" t="n">
        <f aca="false">$E11*稀有度!$C$13</f>
        <v>61.509375</v>
      </c>
    </row>
    <row r="12" customFormat="false" ht="15" hidden="false" customHeight="false" outlineLevel="0" collapsed="false">
      <c r="A12" s="15" t="n">
        <v>11</v>
      </c>
      <c r="B12" s="12" t="s">
        <v>192</v>
      </c>
      <c r="C12" s="13" t="s">
        <v>193</v>
      </c>
      <c r="D12" s="15" t="s">
        <v>161</v>
      </c>
      <c r="E12" s="21" t="n">
        <v>1.8</v>
      </c>
      <c r="F12" s="15" t="s">
        <v>162</v>
      </c>
      <c r="G12" s="16" t="s">
        <v>194</v>
      </c>
      <c r="H12" s="17" t="n">
        <f aca="false">$E12*稀有度!$C$4</f>
        <v>1.8</v>
      </c>
      <c r="I12" s="17" t="n">
        <f aca="false">$E12*稀有度!$C$5</f>
        <v>2.7</v>
      </c>
      <c r="J12" s="17" t="n">
        <f aca="false">$E12*稀有度!$C$6</f>
        <v>4.05</v>
      </c>
      <c r="K12" s="17" t="n">
        <f aca="false">$E12*稀有度!$C$7</f>
        <v>6.075</v>
      </c>
      <c r="L12" s="17" t="n">
        <f aca="false">$E12*稀有度!$C$8</f>
        <v>9.1125</v>
      </c>
      <c r="M12" s="17" t="n">
        <f aca="false">$E12*稀有度!$C$9</f>
        <v>13.66875</v>
      </c>
      <c r="N12" s="17" t="n">
        <f aca="false">$E12*稀有度!$C$10</f>
        <v>20.503125</v>
      </c>
      <c r="O12" s="17" t="n">
        <f aca="false">$E12*稀有度!$C$11</f>
        <v>30.7546875</v>
      </c>
      <c r="P12" s="17" t="n">
        <f aca="false">$E12*稀有度!$C$12</f>
        <v>46.13203125</v>
      </c>
      <c r="Q12" s="17" t="n">
        <f aca="false">$E12*稀有度!$C$13</f>
        <v>69.198046875</v>
      </c>
    </row>
    <row r="13" customFormat="false" ht="15" hidden="false" customHeight="false" outlineLevel="0" collapsed="false">
      <c r="A13" s="15" t="n">
        <v>12</v>
      </c>
      <c r="B13" s="12" t="s">
        <v>195</v>
      </c>
      <c r="C13" s="13" t="s">
        <v>196</v>
      </c>
      <c r="D13" s="15" t="s">
        <v>161</v>
      </c>
      <c r="E13" s="21" t="n">
        <v>1</v>
      </c>
      <c r="F13" s="15" t="s">
        <v>197</v>
      </c>
      <c r="G13" s="16" t="s">
        <v>198</v>
      </c>
      <c r="H13" s="17" t="n">
        <f aca="false">$E13*稀有度!$C$4</f>
        <v>1</v>
      </c>
      <c r="I13" s="17" t="n">
        <f aca="false">$E13*稀有度!$C$5</f>
        <v>1.5</v>
      </c>
      <c r="J13" s="17" t="n">
        <f aca="false">$E13*稀有度!$C$6</f>
        <v>2.25</v>
      </c>
      <c r="K13" s="17" t="n">
        <f aca="false">$E13*稀有度!$C$7</f>
        <v>3.375</v>
      </c>
      <c r="L13" s="17" t="n">
        <f aca="false">$E13*稀有度!$C$8</f>
        <v>5.0625</v>
      </c>
      <c r="M13" s="17" t="n">
        <f aca="false">$E13*稀有度!$C$9</f>
        <v>7.59375</v>
      </c>
      <c r="N13" s="17" t="n">
        <f aca="false">$E13*稀有度!$C$10</f>
        <v>11.390625</v>
      </c>
      <c r="O13" s="17" t="n">
        <f aca="false">$E13*稀有度!$C$11</f>
        <v>17.0859375</v>
      </c>
      <c r="P13" s="17" t="n">
        <f aca="false">$E13*稀有度!$C$12</f>
        <v>25.62890625</v>
      </c>
      <c r="Q13" s="17" t="n">
        <f aca="false">$E13*稀有度!$C$13</f>
        <v>38.443359375</v>
      </c>
    </row>
    <row r="14" customFormat="false" ht="15" hidden="false" customHeight="false" outlineLevel="0" collapsed="false">
      <c r="A14" s="15" t="n">
        <v>13</v>
      </c>
      <c r="B14" s="12" t="s">
        <v>199</v>
      </c>
      <c r="C14" s="13" t="s">
        <v>200</v>
      </c>
      <c r="D14" s="15" t="s">
        <v>161</v>
      </c>
      <c r="E14" s="21" t="n">
        <v>1</v>
      </c>
      <c r="F14" s="15" t="s">
        <v>197</v>
      </c>
      <c r="G14" s="16" t="s">
        <v>201</v>
      </c>
      <c r="H14" s="17" t="n">
        <f aca="false">$E14*稀有度!$C$4</f>
        <v>1</v>
      </c>
      <c r="I14" s="17" t="n">
        <f aca="false">$E14*稀有度!$C$5</f>
        <v>1.5</v>
      </c>
      <c r="J14" s="17" t="n">
        <f aca="false">$E14*稀有度!$C$6</f>
        <v>2.25</v>
      </c>
      <c r="K14" s="17" t="n">
        <f aca="false">$E14*稀有度!$C$7</f>
        <v>3.375</v>
      </c>
      <c r="L14" s="17" t="n">
        <f aca="false">$E14*稀有度!$C$8</f>
        <v>5.0625</v>
      </c>
      <c r="M14" s="17" t="n">
        <f aca="false">$E14*稀有度!$C$9</f>
        <v>7.59375</v>
      </c>
      <c r="N14" s="17" t="n">
        <f aca="false">$E14*稀有度!$C$10</f>
        <v>11.390625</v>
      </c>
      <c r="O14" s="17" t="n">
        <f aca="false">$E14*稀有度!$C$11</f>
        <v>17.0859375</v>
      </c>
      <c r="P14" s="17" t="n">
        <f aca="false">$E14*稀有度!$C$12</f>
        <v>25.62890625</v>
      </c>
      <c r="Q14" s="17" t="n">
        <f aca="false">$E14*稀有度!$C$13</f>
        <v>38.443359375</v>
      </c>
    </row>
    <row r="15" customFormat="false" ht="15" hidden="false" customHeight="false" outlineLevel="0" collapsed="false">
      <c r="A15" s="15" t="n">
        <v>14</v>
      </c>
      <c r="B15" s="12" t="s">
        <v>202</v>
      </c>
      <c r="C15" s="13" t="s">
        <v>203</v>
      </c>
      <c r="D15" s="15" t="s">
        <v>161</v>
      </c>
      <c r="E15" s="21" t="n">
        <v>1.3</v>
      </c>
      <c r="F15" s="15" t="s">
        <v>197</v>
      </c>
      <c r="G15" s="16" t="s">
        <v>204</v>
      </c>
      <c r="H15" s="17" t="n">
        <f aca="false">$E15*稀有度!$C$4</f>
        <v>1.3</v>
      </c>
      <c r="I15" s="17" t="n">
        <f aca="false">$E15*稀有度!$C$5</f>
        <v>1.95</v>
      </c>
      <c r="J15" s="17" t="n">
        <f aca="false">$E15*稀有度!$C$6</f>
        <v>2.925</v>
      </c>
      <c r="K15" s="17" t="n">
        <f aca="false">$E15*稀有度!$C$7</f>
        <v>4.3875</v>
      </c>
      <c r="L15" s="17" t="n">
        <f aca="false">$E15*稀有度!$C$8</f>
        <v>6.58125</v>
      </c>
      <c r="M15" s="17" t="n">
        <f aca="false">$E15*稀有度!$C$9</f>
        <v>9.871875</v>
      </c>
      <c r="N15" s="17" t="n">
        <f aca="false">$E15*稀有度!$C$10</f>
        <v>14.8078125</v>
      </c>
      <c r="O15" s="17" t="n">
        <f aca="false">$E15*稀有度!$C$11</f>
        <v>22.21171875</v>
      </c>
      <c r="P15" s="17" t="n">
        <f aca="false">$E15*稀有度!$C$12</f>
        <v>33.317578125</v>
      </c>
      <c r="Q15" s="17" t="n">
        <f aca="false">$E15*稀有度!$C$13</f>
        <v>49.9763671875</v>
      </c>
    </row>
    <row r="16" customFormat="false" ht="29.85" hidden="false" customHeight="false" outlineLevel="0" collapsed="false">
      <c r="A16" s="15" t="n">
        <v>15</v>
      </c>
      <c r="B16" s="12" t="s">
        <v>84</v>
      </c>
      <c r="C16" s="13" t="s">
        <v>85</v>
      </c>
      <c r="D16" s="15" t="s">
        <v>205</v>
      </c>
      <c r="E16" s="21" t="n">
        <v>1.6</v>
      </c>
      <c r="F16" s="15" t="s">
        <v>162</v>
      </c>
      <c r="G16" s="16" t="s">
        <v>206</v>
      </c>
      <c r="H16" s="17" t="n">
        <f aca="false">$E16*稀有度!$C$4</f>
        <v>1.6</v>
      </c>
      <c r="I16" s="17" t="n">
        <f aca="false">$E16*稀有度!$C$5</f>
        <v>2.4</v>
      </c>
      <c r="J16" s="17" t="n">
        <f aca="false">$E16*稀有度!$C$6</f>
        <v>3.6</v>
      </c>
      <c r="K16" s="17" t="n">
        <f aca="false">$E16*稀有度!$C$7</f>
        <v>5.4</v>
      </c>
      <c r="L16" s="17" t="n">
        <f aca="false">$E16*稀有度!$C$8</f>
        <v>8.1</v>
      </c>
      <c r="M16" s="17" t="n">
        <f aca="false">$E16*稀有度!$C$9</f>
        <v>12.15</v>
      </c>
      <c r="N16" s="17" t="n">
        <f aca="false">$E16*稀有度!$C$10</f>
        <v>18.225</v>
      </c>
      <c r="O16" s="17" t="n">
        <f aca="false">$E16*稀有度!$C$11</f>
        <v>27.3375</v>
      </c>
      <c r="P16" s="17" t="n">
        <f aca="false">$E16*稀有度!$C$12</f>
        <v>41.00625</v>
      </c>
      <c r="Q16" s="17" t="n">
        <f aca="false">$E16*稀有度!$C$13</f>
        <v>61.509375</v>
      </c>
    </row>
    <row r="17" customFormat="false" ht="15" hidden="false" customHeight="false" outlineLevel="0" collapsed="false">
      <c r="A17" s="15" t="n">
        <v>16</v>
      </c>
      <c r="B17" s="12" t="s">
        <v>207</v>
      </c>
      <c r="C17" s="13" t="s">
        <v>208</v>
      </c>
      <c r="D17" s="15" t="s">
        <v>205</v>
      </c>
      <c r="E17" s="21" t="n">
        <v>1.4</v>
      </c>
      <c r="F17" s="15" t="s">
        <v>162</v>
      </c>
      <c r="G17" s="16" t="s">
        <v>209</v>
      </c>
      <c r="H17" s="17" t="n">
        <f aca="false">$E17*稀有度!$C$4</f>
        <v>1.4</v>
      </c>
      <c r="I17" s="17" t="n">
        <f aca="false">$E17*稀有度!$C$5</f>
        <v>2.1</v>
      </c>
      <c r="J17" s="17" t="n">
        <f aca="false">$E17*稀有度!$C$6</f>
        <v>3.15</v>
      </c>
      <c r="K17" s="17" t="n">
        <f aca="false">$E17*稀有度!$C$7</f>
        <v>4.725</v>
      </c>
      <c r="L17" s="17" t="n">
        <f aca="false">$E17*稀有度!$C$8</f>
        <v>7.0875</v>
      </c>
      <c r="M17" s="17" t="n">
        <f aca="false">$E17*稀有度!$C$9</f>
        <v>10.63125</v>
      </c>
      <c r="N17" s="17" t="n">
        <f aca="false">$E17*稀有度!$C$10</f>
        <v>15.946875</v>
      </c>
      <c r="O17" s="17" t="n">
        <f aca="false">$E17*稀有度!$C$11</f>
        <v>23.9203125</v>
      </c>
      <c r="P17" s="17" t="n">
        <f aca="false">$E17*稀有度!$C$12</f>
        <v>35.88046875</v>
      </c>
      <c r="Q17" s="17" t="n">
        <f aca="false">$E17*稀有度!$C$13</f>
        <v>53.820703125</v>
      </c>
    </row>
    <row r="18" customFormat="false" ht="15" hidden="false" customHeight="false" outlineLevel="0" collapsed="false">
      <c r="A18" s="15" t="n">
        <v>17</v>
      </c>
      <c r="B18" s="12" t="s">
        <v>210</v>
      </c>
      <c r="C18" s="13" t="s">
        <v>211</v>
      </c>
      <c r="D18" s="15" t="s">
        <v>205</v>
      </c>
      <c r="E18" s="21" t="n">
        <v>1.4</v>
      </c>
      <c r="F18" s="15" t="s">
        <v>162</v>
      </c>
      <c r="G18" s="16" t="s">
        <v>212</v>
      </c>
      <c r="H18" s="17" t="n">
        <f aca="false">$E18*稀有度!$C$4</f>
        <v>1.4</v>
      </c>
      <c r="I18" s="17" t="n">
        <f aca="false">$E18*稀有度!$C$5</f>
        <v>2.1</v>
      </c>
      <c r="J18" s="17" t="n">
        <f aca="false">$E18*稀有度!$C$6</f>
        <v>3.15</v>
      </c>
      <c r="K18" s="17" t="n">
        <f aca="false">$E18*稀有度!$C$7</f>
        <v>4.725</v>
      </c>
      <c r="L18" s="17" t="n">
        <f aca="false">$E18*稀有度!$C$8</f>
        <v>7.0875</v>
      </c>
      <c r="M18" s="17" t="n">
        <f aca="false">$E18*稀有度!$C$9</f>
        <v>10.63125</v>
      </c>
      <c r="N18" s="17" t="n">
        <f aca="false">$E18*稀有度!$C$10</f>
        <v>15.946875</v>
      </c>
      <c r="O18" s="17" t="n">
        <f aca="false">$E18*稀有度!$C$11</f>
        <v>23.9203125</v>
      </c>
      <c r="P18" s="17" t="n">
        <f aca="false">$E18*稀有度!$C$12</f>
        <v>35.88046875</v>
      </c>
      <c r="Q18" s="17" t="n">
        <f aca="false">$E18*稀有度!$C$13</f>
        <v>53.820703125</v>
      </c>
    </row>
    <row r="19" customFormat="false" ht="15" hidden="false" customHeight="false" outlineLevel="0" collapsed="false">
      <c r="A19" s="15" t="n">
        <v>18</v>
      </c>
      <c r="B19" s="12" t="s">
        <v>213</v>
      </c>
      <c r="C19" s="13" t="s">
        <v>214</v>
      </c>
      <c r="D19" s="15" t="s">
        <v>205</v>
      </c>
      <c r="E19" s="21" t="n">
        <v>1.4</v>
      </c>
      <c r="F19" s="15" t="s">
        <v>162</v>
      </c>
      <c r="G19" s="16" t="s">
        <v>215</v>
      </c>
      <c r="H19" s="17" t="n">
        <f aca="false">$E19*稀有度!$C$4</f>
        <v>1.4</v>
      </c>
      <c r="I19" s="17" t="n">
        <f aca="false">$E19*稀有度!$C$5</f>
        <v>2.1</v>
      </c>
      <c r="J19" s="17" t="n">
        <f aca="false">$E19*稀有度!$C$6</f>
        <v>3.15</v>
      </c>
      <c r="K19" s="17" t="n">
        <f aca="false">$E19*稀有度!$C$7</f>
        <v>4.725</v>
      </c>
      <c r="L19" s="17" t="n">
        <f aca="false">$E19*稀有度!$C$8</f>
        <v>7.0875</v>
      </c>
      <c r="M19" s="17" t="n">
        <f aca="false">$E19*稀有度!$C$9</f>
        <v>10.63125</v>
      </c>
      <c r="N19" s="17" t="n">
        <f aca="false">$E19*稀有度!$C$10</f>
        <v>15.946875</v>
      </c>
      <c r="O19" s="17" t="n">
        <f aca="false">$E19*稀有度!$C$11</f>
        <v>23.9203125</v>
      </c>
      <c r="P19" s="17" t="n">
        <f aca="false">$E19*稀有度!$C$12</f>
        <v>35.88046875</v>
      </c>
      <c r="Q19" s="17" t="n">
        <f aca="false">$E19*稀有度!$C$13</f>
        <v>53.820703125</v>
      </c>
    </row>
    <row r="20" customFormat="false" ht="15" hidden="false" customHeight="false" outlineLevel="0" collapsed="false">
      <c r="A20" s="15" t="n">
        <v>19</v>
      </c>
      <c r="B20" s="12" t="s">
        <v>216</v>
      </c>
      <c r="C20" s="13" t="s">
        <v>107</v>
      </c>
      <c r="D20" s="15" t="s">
        <v>205</v>
      </c>
      <c r="E20" s="21" t="n">
        <v>1.8</v>
      </c>
      <c r="F20" s="15" t="s">
        <v>162</v>
      </c>
      <c r="G20" s="16" t="s">
        <v>217</v>
      </c>
      <c r="H20" s="17" t="n">
        <f aca="false">$E20*稀有度!$C$4</f>
        <v>1.8</v>
      </c>
      <c r="I20" s="17" t="n">
        <f aca="false">$E20*稀有度!$C$5</f>
        <v>2.7</v>
      </c>
      <c r="J20" s="17" t="n">
        <f aca="false">$E20*稀有度!$C$6</f>
        <v>4.05</v>
      </c>
      <c r="K20" s="17" t="n">
        <f aca="false">$E20*稀有度!$C$7</f>
        <v>6.075</v>
      </c>
      <c r="L20" s="17" t="n">
        <f aca="false">$E20*稀有度!$C$8</f>
        <v>9.1125</v>
      </c>
      <c r="M20" s="17" t="n">
        <f aca="false">$E20*稀有度!$C$9</f>
        <v>13.66875</v>
      </c>
      <c r="N20" s="17" t="n">
        <f aca="false">$E20*稀有度!$C$10</f>
        <v>20.503125</v>
      </c>
      <c r="O20" s="17" t="n">
        <f aca="false">$E20*稀有度!$C$11</f>
        <v>30.7546875</v>
      </c>
      <c r="P20" s="17" t="n">
        <f aca="false">$E20*稀有度!$C$12</f>
        <v>46.13203125</v>
      </c>
      <c r="Q20" s="17" t="n">
        <f aca="false">$E20*稀有度!$C$13</f>
        <v>69.198046875</v>
      </c>
    </row>
    <row r="21" customFormat="false" ht="29.85" hidden="false" customHeight="false" outlineLevel="0" collapsed="false">
      <c r="A21" s="15" t="n">
        <v>20</v>
      </c>
      <c r="B21" s="12" t="s">
        <v>110</v>
      </c>
      <c r="C21" s="13" t="s">
        <v>111</v>
      </c>
      <c r="D21" s="15" t="s">
        <v>205</v>
      </c>
      <c r="E21" s="21" t="n">
        <v>1</v>
      </c>
      <c r="F21" s="15" t="s">
        <v>197</v>
      </c>
      <c r="G21" s="16" t="s">
        <v>218</v>
      </c>
      <c r="H21" s="17" t="n">
        <f aca="false">$E21*稀有度!$C$4</f>
        <v>1</v>
      </c>
      <c r="I21" s="17" t="n">
        <f aca="false">$E21*稀有度!$C$5</f>
        <v>1.5</v>
      </c>
      <c r="J21" s="17" t="n">
        <f aca="false">$E21*稀有度!$C$6</f>
        <v>2.25</v>
      </c>
      <c r="K21" s="17" t="n">
        <f aca="false">$E21*稀有度!$C$7</f>
        <v>3.375</v>
      </c>
      <c r="L21" s="17" t="n">
        <f aca="false">$E21*稀有度!$C$8</f>
        <v>5.0625</v>
      </c>
      <c r="M21" s="17" t="n">
        <f aca="false">$E21*稀有度!$C$9</f>
        <v>7.59375</v>
      </c>
      <c r="N21" s="17" t="n">
        <f aca="false">$E21*稀有度!$C$10</f>
        <v>11.390625</v>
      </c>
      <c r="O21" s="17" t="n">
        <f aca="false">$E21*稀有度!$C$11</f>
        <v>17.0859375</v>
      </c>
      <c r="P21" s="17" t="n">
        <f aca="false">$E21*稀有度!$C$12</f>
        <v>25.62890625</v>
      </c>
      <c r="Q21" s="17" t="n">
        <f aca="false">$E21*稀有度!$C$13</f>
        <v>38.443359375</v>
      </c>
    </row>
    <row r="22" customFormat="false" ht="15" hidden="false" customHeight="false" outlineLevel="0" collapsed="false">
      <c r="A22" s="15" t="n">
        <v>21</v>
      </c>
      <c r="B22" s="12" t="s">
        <v>120</v>
      </c>
      <c r="C22" s="13" t="s">
        <v>121</v>
      </c>
      <c r="D22" s="15" t="s">
        <v>205</v>
      </c>
      <c r="E22" s="21" t="n">
        <v>2.8</v>
      </c>
      <c r="F22" s="15" t="s">
        <v>162</v>
      </c>
      <c r="G22" s="16" t="s">
        <v>219</v>
      </c>
      <c r="H22" s="17" t="n">
        <f aca="false">$E22*稀有度!$C$4</f>
        <v>2.8</v>
      </c>
      <c r="I22" s="17" t="n">
        <f aca="false">$E22*稀有度!$C$5</f>
        <v>4.2</v>
      </c>
      <c r="J22" s="17" t="n">
        <f aca="false">$E22*稀有度!$C$6</f>
        <v>6.3</v>
      </c>
      <c r="K22" s="17" t="n">
        <f aca="false">$E22*稀有度!$C$7</f>
        <v>9.45</v>
      </c>
      <c r="L22" s="17" t="n">
        <f aca="false">$E22*稀有度!$C$8</f>
        <v>14.175</v>
      </c>
      <c r="M22" s="17" t="n">
        <f aca="false">$E22*稀有度!$C$9</f>
        <v>21.2625</v>
      </c>
      <c r="N22" s="17" t="n">
        <f aca="false">$E22*稀有度!$C$10</f>
        <v>31.89375</v>
      </c>
      <c r="O22" s="17" t="n">
        <f aca="false">$E22*稀有度!$C$11</f>
        <v>47.840625</v>
      </c>
      <c r="P22" s="17" t="n">
        <f aca="false">$E22*稀有度!$C$12</f>
        <v>71.7609375</v>
      </c>
      <c r="Q22" s="17" t="n">
        <f aca="false">$E22*稀有度!$C$13</f>
        <v>107.64140625</v>
      </c>
    </row>
    <row r="23" customFormat="false" ht="15" hidden="false" customHeight="false" outlineLevel="0" collapsed="false">
      <c r="A23" s="15" t="n">
        <v>22</v>
      </c>
      <c r="B23" s="12" t="s">
        <v>123</v>
      </c>
      <c r="C23" s="13" t="s">
        <v>124</v>
      </c>
      <c r="D23" s="15" t="s">
        <v>205</v>
      </c>
      <c r="E23" s="21" t="n">
        <v>1.5</v>
      </c>
      <c r="F23" s="15" t="s">
        <v>162</v>
      </c>
      <c r="G23" s="16" t="s">
        <v>220</v>
      </c>
      <c r="H23" s="17" t="n">
        <f aca="false">$E23*稀有度!$C$4</f>
        <v>1.5</v>
      </c>
      <c r="I23" s="17" t="n">
        <f aca="false">$E23*稀有度!$C$5</f>
        <v>2.25</v>
      </c>
      <c r="J23" s="17" t="n">
        <f aca="false">$E23*稀有度!$C$6</f>
        <v>3.375</v>
      </c>
      <c r="K23" s="17" t="n">
        <f aca="false">$E23*稀有度!$C$7</f>
        <v>5.0625</v>
      </c>
      <c r="L23" s="17" t="n">
        <f aca="false">$E23*稀有度!$C$8</f>
        <v>7.59375</v>
      </c>
      <c r="M23" s="17" t="n">
        <f aca="false">$E23*稀有度!$C$9</f>
        <v>11.390625</v>
      </c>
      <c r="N23" s="17" t="n">
        <f aca="false">$E23*稀有度!$C$10</f>
        <v>17.0859375</v>
      </c>
      <c r="O23" s="17" t="n">
        <f aca="false">$E23*稀有度!$C$11</f>
        <v>25.62890625</v>
      </c>
      <c r="P23" s="17" t="n">
        <f aca="false">$E23*稀有度!$C$12</f>
        <v>38.443359375</v>
      </c>
      <c r="Q23" s="17" t="n">
        <f aca="false">$E23*稀有度!$C$13</f>
        <v>57.6650390625</v>
      </c>
    </row>
    <row r="24" customFormat="false" ht="29.85" hidden="false" customHeight="false" outlineLevel="0" collapsed="false">
      <c r="A24" s="15" t="n">
        <v>23</v>
      </c>
      <c r="B24" s="12" t="s">
        <v>221</v>
      </c>
      <c r="C24" s="13" t="s">
        <v>222</v>
      </c>
      <c r="D24" s="15" t="s">
        <v>205</v>
      </c>
      <c r="E24" s="21" t="n">
        <v>1.2</v>
      </c>
      <c r="F24" s="15" t="s">
        <v>162</v>
      </c>
      <c r="G24" s="16" t="s">
        <v>223</v>
      </c>
      <c r="H24" s="17" t="n">
        <f aca="false">$E24*稀有度!$C$4</f>
        <v>1.2</v>
      </c>
      <c r="I24" s="17" t="n">
        <f aca="false">$E24*稀有度!$C$5</f>
        <v>1.8</v>
      </c>
      <c r="J24" s="17" t="n">
        <f aca="false">$E24*稀有度!$C$6</f>
        <v>2.7</v>
      </c>
      <c r="K24" s="17" t="n">
        <f aca="false">$E24*稀有度!$C$7</f>
        <v>4.05</v>
      </c>
      <c r="L24" s="17" t="n">
        <f aca="false">$E24*稀有度!$C$8</f>
        <v>6.075</v>
      </c>
      <c r="M24" s="17" t="n">
        <f aca="false">$E24*稀有度!$C$9</f>
        <v>9.1125</v>
      </c>
      <c r="N24" s="17" t="n">
        <f aca="false">$E24*稀有度!$C$10</f>
        <v>13.66875</v>
      </c>
      <c r="O24" s="17" t="n">
        <f aca="false">$E24*稀有度!$C$11</f>
        <v>20.503125</v>
      </c>
      <c r="P24" s="17" t="n">
        <f aca="false">$E24*稀有度!$C$12</f>
        <v>30.7546875</v>
      </c>
      <c r="Q24" s="17" t="n">
        <f aca="false">$E24*稀有度!$C$13</f>
        <v>46.13203125</v>
      </c>
    </row>
    <row r="25" customFormat="false" ht="15" hidden="false" customHeight="false" outlineLevel="0" collapsed="false">
      <c r="A25" s="15" t="n">
        <v>24</v>
      </c>
      <c r="B25" s="12" t="s">
        <v>224</v>
      </c>
      <c r="C25" s="13" t="s">
        <v>225</v>
      </c>
      <c r="D25" s="15" t="s">
        <v>205</v>
      </c>
      <c r="E25" s="21" t="n">
        <v>1</v>
      </c>
      <c r="F25" s="15" t="s">
        <v>162</v>
      </c>
      <c r="G25" s="16" t="s">
        <v>226</v>
      </c>
      <c r="H25" s="17" t="n">
        <f aca="false">$E25*稀有度!$C$4</f>
        <v>1</v>
      </c>
      <c r="I25" s="17" t="n">
        <f aca="false">$E25*稀有度!$C$5</f>
        <v>1.5</v>
      </c>
      <c r="J25" s="17" t="n">
        <f aca="false">$E25*稀有度!$C$6</f>
        <v>2.25</v>
      </c>
      <c r="K25" s="17" t="n">
        <f aca="false">$E25*稀有度!$C$7</f>
        <v>3.375</v>
      </c>
      <c r="L25" s="17" t="n">
        <f aca="false">$E25*稀有度!$C$8</f>
        <v>5.0625</v>
      </c>
      <c r="M25" s="17" t="n">
        <f aca="false">$E25*稀有度!$C$9</f>
        <v>7.59375</v>
      </c>
      <c r="N25" s="17" t="n">
        <f aca="false">$E25*稀有度!$C$10</f>
        <v>11.390625</v>
      </c>
      <c r="O25" s="17" t="n">
        <f aca="false">$E25*稀有度!$C$11</f>
        <v>17.0859375</v>
      </c>
      <c r="P25" s="17" t="n">
        <f aca="false">$E25*稀有度!$C$12</f>
        <v>25.62890625</v>
      </c>
      <c r="Q25" s="17" t="n">
        <f aca="false">$E25*稀有度!$C$13</f>
        <v>38.443359375</v>
      </c>
    </row>
    <row r="26" customFormat="false" ht="15" hidden="false" customHeight="false" outlineLevel="0" collapsed="false">
      <c r="A26" s="15" t="n">
        <v>25</v>
      </c>
      <c r="B26" s="12" t="s">
        <v>227</v>
      </c>
      <c r="C26" s="13" t="s">
        <v>228</v>
      </c>
      <c r="D26" s="15" t="s">
        <v>205</v>
      </c>
      <c r="E26" s="21" t="n">
        <v>1</v>
      </c>
      <c r="F26" s="15" t="s">
        <v>162</v>
      </c>
      <c r="G26" s="16" t="s">
        <v>229</v>
      </c>
      <c r="H26" s="17" t="n">
        <f aca="false">$E26*稀有度!$C$4</f>
        <v>1</v>
      </c>
      <c r="I26" s="17" t="n">
        <f aca="false">$E26*稀有度!$C$5</f>
        <v>1.5</v>
      </c>
      <c r="J26" s="17" t="n">
        <f aca="false">$E26*稀有度!$C$6</f>
        <v>2.25</v>
      </c>
      <c r="K26" s="17" t="n">
        <f aca="false">$E26*稀有度!$C$7</f>
        <v>3.375</v>
      </c>
      <c r="L26" s="17" t="n">
        <f aca="false">$E26*稀有度!$C$8</f>
        <v>5.0625</v>
      </c>
      <c r="M26" s="17" t="n">
        <f aca="false">$E26*稀有度!$C$9</f>
        <v>7.59375</v>
      </c>
      <c r="N26" s="17" t="n">
        <f aca="false">$E26*稀有度!$C$10</f>
        <v>11.390625</v>
      </c>
      <c r="O26" s="17" t="n">
        <f aca="false">$E26*稀有度!$C$11</f>
        <v>17.0859375</v>
      </c>
      <c r="P26" s="17" t="n">
        <f aca="false">$E26*稀有度!$C$12</f>
        <v>25.62890625</v>
      </c>
      <c r="Q26" s="17" t="n">
        <f aca="false">$E26*稀有度!$C$13</f>
        <v>38.443359375</v>
      </c>
    </row>
    <row r="27" customFormat="false" ht="15" hidden="false" customHeight="false" outlineLevel="0" collapsed="false">
      <c r="A27" s="15" t="n">
        <v>26</v>
      </c>
      <c r="B27" s="12" t="s">
        <v>230</v>
      </c>
      <c r="C27" s="13" t="s">
        <v>231</v>
      </c>
      <c r="D27" s="15" t="s">
        <v>205</v>
      </c>
      <c r="E27" s="21" t="n">
        <v>1.4</v>
      </c>
      <c r="F27" s="15" t="s">
        <v>162</v>
      </c>
      <c r="G27" s="16" t="s">
        <v>232</v>
      </c>
      <c r="H27" s="17" t="n">
        <f aca="false">$E27*稀有度!$C$4</f>
        <v>1.4</v>
      </c>
      <c r="I27" s="17" t="n">
        <f aca="false">$E27*稀有度!$C$5</f>
        <v>2.1</v>
      </c>
      <c r="J27" s="17" t="n">
        <f aca="false">$E27*稀有度!$C$6</f>
        <v>3.15</v>
      </c>
      <c r="K27" s="17" t="n">
        <f aca="false">$E27*稀有度!$C$7</f>
        <v>4.725</v>
      </c>
      <c r="L27" s="17" t="n">
        <f aca="false">$E27*稀有度!$C$8</f>
        <v>7.0875</v>
      </c>
      <c r="M27" s="17" t="n">
        <f aca="false">$E27*稀有度!$C$9</f>
        <v>10.63125</v>
      </c>
      <c r="N27" s="17" t="n">
        <f aca="false">$E27*稀有度!$C$10</f>
        <v>15.946875</v>
      </c>
      <c r="O27" s="17" t="n">
        <f aca="false">$E27*稀有度!$C$11</f>
        <v>23.9203125</v>
      </c>
      <c r="P27" s="17" t="n">
        <f aca="false">$E27*稀有度!$C$12</f>
        <v>35.88046875</v>
      </c>
      <c r="Q27" s="17" t="n">
        <f aca="false">$E27*稀有度!$C$13</f>
        <v>53.820703125</v>
      </c>
    </row>
    <row r="28" customFormat="false" ht="15" hidden="false" customHeight="false" outlineLevel="0" collapsed="false">
      <c r="A28" s="15" t="n">
        <v>27</v>
      </c>
      <c r="B28" s="12" t="s">
        <v>233</v>
      </c>
      <c r="C28" s="13" t="s">
        <v>234</v>
      </c>
      <c r="D28" s="15" t="s">
        <v>205</v>
      </c>
      <c r="E28" s="21" t="n">
        <v>1.3</v>
      </c>
      <c r="F28" s="15" t="s">
        <v>162</v>
      </c>
      <c r="G28" s="16" t="s">
        <v>235</v>
      </c>
      <c r="H28" s="17" t="n">
        <f aca="false">$E28*稀有度!$C$4</f>
        <v>1.3</v>
      </c>
      <c r="I28" s="17" t="n">
        <f aca="false">$E28*稀有度!$C$5</f>
        <v>1.95</v>
      </c>
      <c r="J28" s="17" t="n">
        <f aca="false">$E28*稀有度!$C$6</f>
        <v>2.925</v>
      </c>
      <c r="K28" s="17" t="n">
        <f aca="false">$E28*稀有度!$C$7</f>
        <v>4.3875</v>
      </c>
      <c r="L28" s="17" t="n">
        <f aca="false">$E28*稀有度!$C$8</f>
        <v>6.58125</v>
      </c>
      <c r="M28" s="17" t="n">
        <f aca="false">$E28*稀有度!$C$9</f>
        <v>9.871875</v>
      </c>
      <c r="N28" s="17" t="n">
        <f aca="false">$E28*稀有度!$C$10</f>
        <v>14.8078125</v>
      </c>
      <c r="O28" s="17" t="n">
        <f aca="false">$E28*稀有度!$C$11</f>
        <v>22.21171875</v>
      </c>
      <c r="P28" s="17" t="n">
        <f aca="false">$E28*稀有度!$C$12</f>
        <v>33.317578125</v>
      </c>
      <c r="Q28" s="17" t="n">
        <f aca="false">$E28*稀有度!$C$13</f>
        <v>49.9763671875</v>
      </c>
    </row>
    <row r="29" customFormat="false" ht="29.85" hidden="false" customHeight="false" outlineLevel="0" collapsed="false">
      <c r="A29" s="15" t="n">
        <v>28</v>
      </c>
      <c r="B29" s="12" t="s">
        <v>236</v>
      </c>
      <c r="C29" s="13" t="s">
        <v>237</v>
      </c>
      <c r="D29" s="15" t="s">
        <v>205</v>
      </c>
      <c r="E29" s="21" t="n">
        <v>1.2</v>
      </c>
      <c r="F29" s="15" t="s">
        <v>162</v>
      </c>
      <c r="G29" s="16" t="s">
        <v>238</v>
      </c>
      <c r="H29" s="17" t="n">
        <f aca="false">$E29*稀有度!$C$4</f>
        <v>1.2</v>
      </c>
      <c r="I29" s="17" t="n">
        <f aca="false">$E29*稀有度!$C$5</f>
        <v>1.8</v>
      </c>
      <c r="J29" s="17" t="n">
        <f aca="false">$E29*稀有度!$C$6</f>
        <v>2.7</v>
      </c>
      <c r="K29" s="17" t="n">
        <f aca="false">$E29*稀有度!$C$7</f>
        <v>4.05</v>
      </c>
      <c r="L29" s="17" t="n">
        <f aca="false">$E29*稀有度!$C$8</f>
        <v>6.075</v>
      </c>
      <c r="M29" s="17" t="n">
        <f aca="false">$E29*稀有度!$C$9</f>
        <v>9.1125</v>
      </c>
      <c r="N29" s="17" t="n">
        <f aca="false">$E29*稀有度!$C$10</f>
        <v>13.66875</v>
      </c>
      <c r="O29" s="17" t="n">
        <f aca="false">$E29*稀有度!$C$11</f>
        <v>20.503125</v>
      </c>
      <c r="P29" s="17" t="n">
        <f aca="false">$E29*稀有度!$C$12</f>
        <v>30.7546875</v>
      </c>
      <c r="Q29" s="17" t="n">
        <f aca="false">$E29*稀有度!$C$13</f>
        <v>46.13203125</v>
      </c>
    </row>
    <row r="30" customFormat="false" ht="29.85" hidden="false" customHeight="false" outlineLevel="0" collapsed="false">
      <c r="A30" s="15" t="n">
        <v>29</v>
      </c>
      <c r="B30" s="12" t="s">
        <v>239</v>
      </c>
      <c r="C30" s="13" t="s">
        <v>240</v>
      </c>
      <c r="D30" s="15" t="s">
        <v>205</v>
      </c>
      <c r="E30" s="21" t="n">
        <v>1</v>
      </c>
      <c r="F30" s="15" t="s">
        <v>197</v>
      </c>
      <c r="G30" s="16" t="s">
        <v>241</v>
      </c>
      <c r="H30" s="17" t="n">
        <f aca="false">$E30*稀有度!$C$4</f>
        <v>1</v>
      </c>
      <c r="I30" s="17" t="n">
        <f aca="false">$E30*稀有度!$C$5</f>
        <v>1.5</v>
      </c>
      <c r="J30" s="17" t="n">
        <f aca="false">$E30*稀有度!$C$6</f>
        <v>2.25</v>
      </c>
      <c r="K30" s="17" t="n">
        <f aca="false">$E30*稀有度!$C$7</f>
        <v>3.375</v>
      </c>
      <c r="L30" s="17" t="n">
        <f aca="false">$E30*稀有度!$C$8</f>
        <v>5.0625</v>
      </c>
      <c r="M30" s="17" t="n">
        <f aca="false">$E30*稀有度!$C$9</f>
        <v>7.59375</v>
      </c>
      <c r="N30" s="17" t="n">
        <f aca="false">$E30*稀有度!$C$10</f>
        <v>11.390625</v>
      </c>
      <c r="O30" s="17" t="n">
        <f aca="false">$E30*稀有度!$C$11</f>
        <v>17.0859375</v>
      </c>
      <c r="P30" s="17" t="n">
        <f aca="false">$E30*稀有度!$C$12</f>
        <v>25.62890625</v>
      </c>
      <c r="Q30" s="17" t="n">
        <f aca="false">$E30*稀有度!$C$13</f>
        <v>38.443359375</v>
      </c>
    </row>
    <row r="31" customFormat="false" ht="15" hidden="false" customHeight="false" outlineLevel="0" collapsed="false">
      <c r="A31" s="15" t="n">
        <v>30</v>
      </c>
      <c r="B31" s="12" t="s">
        <v>242</v>
      </c>
      <c r="C31" s="13" t="s">
        <v>243</v>
      </c>
      <c r="D31" s="15" t="s">
        <v>205</v>
      </c>
      <c r="E31" s="21" t="n">
        <v>1</v>
      </c>
      <c r="F31" s="15" t="s">
        <v>197</v>
      </c>
      <c r="G31" s="16" t="s">
        <v>244</v>
      </c>
      <c r="H31" s="17" t="n">
        <f aca="false">$E31*稀有度!$C$4</f>
        <v>1</v>
      </c>
      <c r="I31" s="17" t="n">
        <f aca="false">$E31*稀有度!$C$5</f>
        <v>1.5</v>
      </c>
      <c r="J31" s="17" t="n">
        <f aca="false">$E31*稀有度!$C$6</f>
        <v>2.25</v>
      </c>
      <c r="K31" s="17" t="n">
        <f aca="false">$E31*稀有度!$C$7</f>
        <v>3.375</v>
      </c>
      <c r="L31" s="17" t="n">
        <f aca="false">$E31*稀有度!$C$8</f>
        <v>5.0625</v>
      </c>
      <c r="M31" s="17" t="n">
        <f aca="false">$E31*稀有度!$C$9</f>
        <v>7.59375</v>
      </c>
      <c r="N31" s="17" t="n">
        <f aca="false">$E31*稀有度!$C$10</f>
        <v>11.390625</v>
      </c>
      <c r="O31" s="17" t="n">
        <f aca="false">$E31*稀有度!$C$11</f>
        <v>17.0859375</v>
      </c>
      <c r="P31" s="17" t="n">
        <f aca="false">$E31*稀有度!$C$12</f>
        <v>25.62890625</v>
      </c>
      <c r="Q31" s="17" t="n">
        <f aca="false">$E31*稀有度!$C$13</f>
        <v>38.443359375</v>
      </c>
    </row>
    <row r="32" customFormat="false" ht="15" hidden="false" customHeight="false" outlineLevel="0" collapsed="false">
      <c r="A32" s="15" t="n">
        <v>31</v>
      </c>
      <c r="B32" s="12" t="s">
        <v>245</v>
      </c>
      <c r="C32" s="13" t="s">
        <v>140</v>
      </c>
      <c r="D32" s="15" t="s">
        <v>205</v>
      </c>
      <c r="E32" s="21" t="n">
        <v>1</v>
      </c>
      <c r="F32" s="15" t="s">
        <v>197</v>
      </c>
      <c r="G32" s="16" t="s">
        <v>246</v>
      </c>
      <c r="H32" s="17" t="n">
        <f aca="false">$E32*稀有度!$C$4</f>
        <v>1</v>
      </c>
      <c r="I32" s="17" t="n">
        <f aca="false">$E32*稀有度!$C$5</f>
        <v>1.5</v>
      </c>
      <c r="J32" s="17" t="n">
        <f aca="false">$E32*稀有度!$C$6</f>
        <v>2.25</v>
      </c>
      <c r="K32" s="17" t="n">
        <f aca="false">$E32*稀有度!$C$7</f>
        <v>3.375</v>
      </c>
      <c r="L32" s="17" t="n">
        <f aca="false">$E32*稀有度!$C$8</f>
        <v>5.0625</v>
      </c>
      <c r="M32" s="17" t="n">
        <f aca="false">$E32*稀有度!$C$9</f>
        <v>7.59375</v>
      </c>
      <c r="N32" s="17" t="n">
        <f aca="false">$E32*稀有度!$C$10</f>
        <v>11.390625</v>
      </c>
      <c r="O32" s="17" t="n">
        <f aca="false">$E32*稀有度!$C$11</f>
        <v>17.0859375</v>
      </c>
      <c r="P32" s="17" t="n">
        <f aca="false">$E32*稀有度!$C$12</f>
        <v>25.62890625</v>
      </c>
      <c r="Q32" s="17" t="n">
        <f aca="false">$E32*稀有度!$C$13</f>
        <v>38.443359375</v>
      </c>
    </row>
    <row r="33" customFormat="false" ht="15" hidden="false" customHeight="false" outlineLevel="0" collapsed="false">
      <c r="A33" s="15" t="n">
        <v>32</v>
      </c>
      <c r="B33" s="12" t="s">
        <v>247</v>
      </c>
      <c r="C33" s="13" t="s">
        <v>248</v>
      </c>
      <c r="D33" s="15" t="s">
        <v>205</v>
      </c>
      <c r="E33" s="21" t="n">
        <v>1</v>
      </c>
      <c r="F33" s="15" t="s">
        <v>197</v>
      </c>
      <c r="G33" s="16" t="s">
        <v>249</v>
      </c>
      <c r="H33" s="17" t="n">
        <f aca="false">$E33*稀有度!$C$4</f>
        <v>1</v>
      </c>
      <c r="I33" s="17" t="n">
        <f aca="false">$E33*稀有度!$C$5</f>
        <v>1.5</v>
      </c>
      <c r="J33" s="17" t="n">
        <f aca="false">$E33*稀有度!$C$6</f>
        <v>2.25</v>
      </c>
      <c r="K33" s="17" t="n">
        <f aca="false">$E33*稀有度!$C$7</f>
        <v>3.375</v>
      </c>
      <c r="L33" s="17" t="n">
        <f aca="false">$E33*稀有度!$C$8</f>
        <v>5.0625</v>
      </c>
      <c r="M33" s="17" t="n">
        <f aca="false">$E33*稀有度!$C$9</f>
        <v>7.59375</v>
      </c>
      <c r="N33" s="17" t="n">
        <f aca="false">$E33*稀有度!$C$10</f>
        <v>11.390625</v>
      </c>
      <c r="O33" s="17" t="n">
        <f aca="false">$E33*稀有度!$C$11</f>
        <v>17.0859375</v>
      </c>
      <c r="P33" s="17" t="n">
        <f aca="false">$E33*稀有度!$C$12</f>
        <v>25.62890625</v>
      </c>
      <c r="Q33" s="17" t="n">
        <f aca="false">$E33*稀有度!$C$13</f>
        <v>38.443359375</v>
      </c>
    </row>
    <row r="34" customFormat="false" ht="15" hidden="false" customHeight="false" outlineLevel="0" collapsed="false">
      <c r="A34" s="15" t="n">
        <v>33</v>
      </c>
      <c r="B34" s="12" t="s">
        <v>250</v>
      </c>
      <c r="C34" s="13" t="s">
        <v>251</v>
      </c>
      <c r="D34" s="15" t="s">
        <v>205</v>
      </c>
      <c r="E34" s="21" t="n">
        <v>1</v>
      </c>
      <c r="F34" s="15" t="s">
        <v>197</v>
      </c>
      <c r="G34" s="16" t="s">
        <v>252</v>
      </c>
      <c r="H34" s="17" t="n">
        <f aca="false">$E34*稀有度!$C$4</f>
        <v>1</v>
      </c>
      <c r="I34" s="17" t="n">
        <f aca="false">$E34*稀有度!$C$5</f>
        <v>1.5</v>
      </c>
      <c r="J34" s="17" t="n">
        <f aca="false">$E34*稀有度!$C$6</f>
        <v>2.25</v>
      </c>
      <c r="K34" s="17" t="n">
        <f aca="false">$E34*稀有度!$C$7</f>
        <v>3.375</v>
      </c>
      <c r="L34" s="17" t="n">
        <f aca="false">$E34*稀有度!$C$8</f>
        <v>5.0625</v>
      </c>
      <c r="M34" s="17" t="n">
        <f aca="false">$E34*稀有度!$C$9</f>
        <v>7.59375</v>
      </c>
      <c r="N34" s="17" t="n">
        <f aca="false">$E34*稀有度!$C$10</f>
        <v>11.390625</v>
      </c>
      <c r="O34" s="17" t="n">
        <f aca="false">$E34*稀有度!$C$11</f>
        <v>17.0859375</v>
      </c>
      <c r="P34" s="17" t="n">
        <f aca="false">$E34*稀有度!$C$12</f>
        <v>25.62890625</v>
      </c>
      <c r="Q34" s="17" t="n">
        <f aca="false">$E34*稀有度!$C$13</f>
        <v>38.443359375</v>
      </c>
    </row>
    <row r="35" customFormat="false" ht="15" hidden="false" customHeight="false" outlineLevel="0" collapsed="false">
      <c r="A35" s="15" t="n">
        <v>34</v>
      </c>
      <c r="B35" s="12" t="s">
        <v>253</v>
      </c>
      <c r="C35" s="13" t="s">
        <v>254</v>
      </c>
      <c r="D35" s="15" t="s">
        <v>205</v>
      </c>
      <c r="E35" s="21" t="n">
        <v>1</v>
      </c>
      <c r="F35" s="15" t="s">
        <v>197</v>
      </c>
      <c r="G35" s="16" t="s">
        <v>255</v>
      </c>
      <c r="H35" s="17" t="n">
        <f aca="false">$E35*稀有度!$C$4</f>
        <v>1</v>
      </c>
      <c r="I35" s="17" t="n">
        <f aca="false">$E35*稀有度!$C$5</f>
        <v>1.5</v>
      </c>
      <c r="J35" s="17" t="n">
        <f aca="false">$E35*稀有度!$C$6</f>
        <v>2.25</v>
      </c>
      <c r="K35" s="17" t="n">
        <f aca="false">$E35*稀有度!$C$7</f>
        <v>3.375</v>
      </c>
      <c r="L35" s="17" t="n">
        <f aca="false">$E35*稀有度!$C$8</f>
        <v>5.0625</v>
      </c>
      <c r="M35" s="17" t="n">
        <f aca="false">$E35*稀有度!$C$9</f>
        <v>7.59375</v>
      </c>
      <c r="N35" s="17" t="n">
        <f aca="false">$E35*稀有度!$C$10</f>
        <v>11.390625</v>
      </c>
      <c r="O35" s="17" t="n">
        <f aca="false">$E35*稀有度!$C$11</f>
        <v>17.0859375</v>
      </c>
      <c r="P35" s="17" t="n">
        <f aca="false">$E35*稀有度!$C$12</f>
        <v>25.62890625</v>
      </c>
      <c r="Q35" s="17" t="n">
        <f aca="false">$E35*稀有度!$C$13</f>
        <v>38.443359375</v>
      </c>
    </row>
    <row r="36" customFormat="false" ht="15" hidden="false" customHeight="false" outlineLevel="0" collapsed="false">
      <c r="A36" s="15" t="n">
        <v>35</v>
      </c>
      <c r="B36" s="12" t="s">
        <v>256</v>
      </c>
      <c r="C36" s="13" t="s">
        <v>257</v>
      </c>
      <c r="D36" s="15" t="s">
        <v>205</v>
      </c>
      <c r="E36" s="21" t="n">
        <v>1</v>
      </c>
      <c r="F36" s="15" t="s">
        <v>197</v>
      </c>
      <c r="G36" s="16" t="s">
        <v>258</v>
      </c>
      <c r="H36" s="17" t="n">
        <f aca="false">$E36*稀有度!$C$4</f>
        <v>1</v>
      </c>
      <c r="I36" s="17" t="n">
        <f aca="false">$E36*稀有度!$C$5</f>
        <v>1.5</v>
      </c>
      <c r="J36" s="17" t="n">
        <f aca="false">$E36*稀有度!$C$6</f>
        <v>2.25</v>
      </c>
      <c r="K36" s="17" t="n">
        <f aca="false">$E36*稀有度!$C$7</f>
        <v>3.375</v>
      </c>
      <c r="L36" s="17" t="n">
        <f aca="false">$E36*稀有度!$C$8</f>
        <v>5.0625</v>
      </c>
      <c r="M36" s="17" t="n">
        <f aca="false">$E36*稀有度!$C$9</f>
        <v>7.59375</v>
      </c>
      <c r="N36" s="17" t="n">
        <f aca="false">$E36*稀有度!$C$10</f>
        <v>11.390625</v>
      </c>
      <c r="O36" s="17" t="n">
        <f aca="false">$E36*稀有度!$C$11</f>
        <v>17.0859375</v>
      </c>
      <c r="P36" s="17" t="n">
        <f aca="false">$E36*稀有度!$C$12</f>
        <v>25.62890625</v>
      </c>
      <c r="Q36" s="17" t="n">
        <f aca="false">$E36*稀有度!$C$13</f>
        <v>38.443359375</v>
      </c>
    </row>
    <row r="37" customFormat="false" ht="15" hidden="false" customHeight="false" outlineLevel="0" collapsed="false">
      <c r="A37" s="15" t="n">
        <v>36</v>
      </c>
      <c r="B37" s="12" t="s">
        <v>259</v>
      </c>
      <c r="C37" s="13" t="s">
        <v>260</v>
      </c>
      <c r="D37" s="15" t="s">
        <v>205</v>
      </c>
      <c r="E37" s="21" t="n">
        <v>1.3</v>
      </c>
      <c r="F37" s="15" t="s">
        <v>162</v>
      </c>
      <c r="G37" s="16" t="s">
        <v>261</v>
      </c>
      <c r="H37" s="17" t="n">
        <f aca="false">$E37*稀有度!$C$4</f>
        <v>1.3</v>
      </c>
      <c r="I37" s="17" t="n">
        <f aca="false">$E37*稀有度!$C$5</f>
        <v>1.95</v>
      </c>
      <c r="J37" s="17" t="n">
        <f aca="false">$E37*稀有度!$C$6</f>
        <v>2.925</v>
      </c>
      <c r="K37" s="17" t="n">
        <f aca="false">$E37*稀有度!$C$7</f>
        <v>4.3875</v>
      </c>
      <c r="L37" s="17" t="n">
        <f aca="false">$E37*稀有度!$C$8</f>
        <v>6.58125</v>
      </c>
      <c r="M37" s="17" t="n">
        <f aca="false">$E37*稀有度!$C$9</f>
        <v>9.871875</v>
      </c>
      <c r="N37" s="17" t="n">
        <f aca="false">$E37*稀有度!$C$10</f>
        <v>14.8078125</v>
      </c>
      <c r="O37" s="17" t="n">
        <f aca="false">$E37*稀有度!$C$11</f>
        <v>22.21171875</v>
      </c>
      <c r="P37" s="17" t="n">
        <f aca="false">$E37*稀有度!$C$12</f>
        <v>33.317578125</v>
      </c>
      <c r="Q37" s="17" t="n">
        <f aca="false">$E37*稀有度!$C$13</f>
        <v>49.9763671875</v>
      </c>
    </row>
    <row r="38" customFormat="false" ht="15" hidden="false" customHeight="false" outlineLevel="0" collapsed="false">
      <c r="A38" s="15" t="n">
        <v>37</v>
      </c>
      <c r="B38" s="12" t="s">
        <v>262</v>
      </c>
      <c r="C38" s="13" t="s">
        <v>263</v>
      </c>
      <c r="D38" s="15" t="s">
        <v>205</v>
      </c>
      <c r="E38" s="21" t="n">
        <v>1</v>
      </c>
      <c r="F38" s="15" t="s">
        <v>162</v>
      </c>
      <c r="G38" s="16" t="s">
        <v>264</v>
      </c>
      <c r="H38" s="17" t="n">
        <f aca="false">$E38*稀有度!$C$4</f>
        <v>1</v>
      </c>
      <c r="I38" s="17" t="n">
        <f aca="false">$E38*稀有度!$C$5</f>
        <v>1.5</v>
      </c>
      <c r="J38" s="17" t="n">
        <f aca="false">$E38*稀有度!$C$6</f>
        <v>2.25</v>
      </c>
      <c r="K38" s="17" t="n">
        <f aca="false">$E38*稀有度!$C$7</f>
        <v>3.375</v>
      </c>
      <c r="L38" s="17" t="n">
        <f aca="false">$E38*稀有度!$C$8</f>
        <v>5.0625</v>
      </c>
      <c r="M38" s="17" t="n">
        <f aca="false">$E38*稀有度!$C$9</f>
        <v>7.59375</v>
      </c>
      <c r="N38" s="17" t="n">
        <f aca="false">$E38*稀有度!$C$10</f>
        <v>11.390625</v>
      </c>
      <c r="O38" s="17" t="n">
        <f aca="false">$E38*稀有度!$C$11</f>
        <v>17.0859375</v>
      </c>
      <c r="P38" s="17" t="n">
        <f aca="false">$E38*稀有度!$C$12</f>
        <v>25.62890625</v>
      </c>
      <c r="Q38" s="17" t="n">
        <f aca="false">$E38*稀有度!$C$13</f>
        <v>38.443359375</v>
      </c>
    </row>
    <row r="39" customFormat="false" ht="15" hidden="false" customHeight="false" outlineLevel="0" collapsed="false">
      <c r="A39" s="15" t="n">
        <v>38</v>
      </c>
      <c r="B39" s="12" t="s">
        <v>265</v>
      </c>
      <c r="C39" s="13" t="s">
        <v>266</v>
      </c>
      <c r="D39" s="15" t="s">
        <v>205</v>
      </c>
      <c r="E39" s="21" t="n">
        <v>1.5</v>
      </c>
      <c r="F39" s="15" t="s">
        <v>162</v>
      </c>
      <c r="G39" s="16" t="s">
        <v>267</v>
      </c>
      <c r="H39" s="17" t="n">
        <f aca="false">$E39*稀有度!$C$4</f>
        <v>1.5</v>
      </c>
      <c r="I39" s="17" t="n">
        <f aca="false">$E39*稀有度!$C$5</f>
        <v>2.25</v>
      </c>
      <c r="J39" s="17" t="n">
        <f aca="false">$E39*稀有度!$C$6</f>
        <v>3.375</v>
      </c>
      <c r="K39" s="17" t="n">
        <f aca="false">$E39*稀有度!$C$7</f>
        <v>5.0625</v>
      </c>
      <c r="L39" s="17" t="n">
        <f aca="false">$E39*稀有度!$C$8</f>
        <v>7.59375</v>
      </c>
      <c r="M39" s="17" t="n">
        <f aca="false">$E39*稀有度!$C$9</f>
        <v>11.390625</v>
      </c>
      <c r="N39" s="17" t="n">
        <f aca="false">$E39*稀有度!$C$10</f>
        <v>17.0859375</v>
      </c>
      <c r="O39" s="17" t="n">
        <f aca="false">$E39*稀有度!$C$11</f>
        <v>25.62890625</v>
      </c>
      <c r="P39" s="17" t="n">
        <f aca="false">$E39*稀有度!$C$12</f>
        <v>38.443359375</v>
      </c>
      <c r="Q39" s="17" t="n">
        <f aca="false">$E39*稀有度!$C$13</f>
        <v>57.6650390625</v>
      </c>
    </row>
    <row r="40" customFormat="false" ht="15" hidden="false" customHeight="false" outlineLevel="0" collapsed="false">
      <c r="A40" s="15" t="n">
        <v>39</v>
      </c>
      <c r="B40" s="12" t="s">
        <v>268</v>
      </c>
      <c r="C40" s="13" t="s">
        <v>269</v>
      </c>
      <c r="D40" s="15" t="s">
        <v>205</v>
      </c>
      <c r="E40" s="21" t="n">
        <v>1.5</v>
      </c>
      <c r="F40" s="15" t="s">
        <v>162</v>
      </c>
      <c r="G40" s="16" t="s">
        <v>270</v>
      </c>
      <c r="H40" s="17" t="n">
        <f aca="false">$E40*稀有度!$C$4</f>
        <v>1.5</v>
      </c>
      <c r="I40" s="17" t="n">
        <f aca="false">$E40*稀有度!$C$5</f>
        <v>2.25</v>
      </c>
      <c r="J40" s="17" t="n">
        <f aca="false">$E40*稀有度!$C$6</f>
        <v>3.375</v>
      </c>
      <c r="K40" s="17" t="n">
        <f aca="false">$E40*稀有度!$C$7</f>
        <v>5.0625</v>
      </c>
      <c r="L40" s="17" t="n">
        <f aca="false">$E40*稀有度!$C$8</f>
        <v>7.59375</v>
      </c>
      <c r="M40" s="17" t="n">
        <f aca="false">$E40*稀有度!$C$9</f>
        <v>11.390625</v>
      </c>
      <c r="N40" s="17" t="n">
        <f aca="false">$E40*稀有度!$C$10</f>
        <v>17.0859375</v>
      </c>
      <c r="O40" s="17" t="n">
        <f aca="false">$E40*稀有度!$C$11</f>
        <v>25.62890625</v>
      </c>
      <c r="P40" s="17" t="n">
        <f aca="false">$E40*稀有度!$C$12</f>
        <v>38.443359375</v>
      </c>
      <c r="Q40" s="17" t="n">
        <f aca="false">$E40*稀有度!$C$13</f>
        <v>57.6650390625</v>
      </c>
    </row>
    <row r="41" customFormat="false" ht="15" hidden="false" customHeight="false" outlineLevel="0" collapsed="false">
      <c r="A41" s="15" t="n">
        <v>40</v>
      </c>
      <c r="B41" s="12" t="s">
        <v>271</v>
      </c>
      <c r="C41" s="13" t="s">
        <v>272</v>
      </c>
      <c r="D41" s="15" t="s">
        <v>205</v>
      </c>
      <c r="E41" s="21" t="n">
        <v>1</v>
      </c>
      <c r="F41" s="15" t="s">
        <v>197</v>
      </c>
      <c r="G41" s="16" t="s">
        <v>273</v>
      </c>
      <c r="H41" s="17" t="n">
        <f aca="false">$E41*稀有度!$C$4</f>
        <v>1</v>
      </c>
      <c r="I41" s="17" t="n">
        <f aca="false">$E41*稀有度!$C$5</f>
        <v>1.5</v>
      </c>
      <c r="J41" s="17" t="n">
        <f aca="false">$E41*稀有度!$C$6</f>
        <v>2.25</v>
      </c>
      <c r="K41" s="17" t="n">
        <f aca="false">$E41*稀有度!$C$7</f>
        <v>3.375</v>
      </c>
      <c r="L41" s="17" t="n">
        <f aca="false">$E41*稀有度!$C$8</f>
        <v>5.0625</v>
      </c>
      <c r="M41" s="17" t="n">
        <f aca="false">$E41*稀有度!$C$9</f>
        <v>7.59375</v>
      </c>
      <c r="N41" s="17" t="n">
        <f aca="false">$E41*稀有度!$C$10</f>
        <v>11.390625</v>
      </c>
      <c r="O41" s="17" t="n">
        <f aca="false">$E41*稀有度!$C$11</f>
        <v>17.0859375</v>
      </c>
      <c r="P41" s="17" t="n">
        <f aca="false">$E41*稀有度!$C$12</f>
        <v>25.62890625</v>
      </c>
      <c r="Q41" s="17" t="n">
        <f aca="false">$E41*稀有度!$C$13</f>
        <v>38.443359375</v>
      </c>
    </row>
    <row r="42" customFormat="false" ht="29.85" hidden="false" customHeight="false" outlineLevel="0" collapsed="false">
      <c r="A42" s="15" t="n">
        <v>41</v>
      </c>
      <c r="B42" s="12" t="s">
        <v>25</v>
      </c>
      <c r="C42" s="13" t="s">
        <v>26</v>
      </c>
      <c r="D42" s="15" t="s">
        <v>274</v>
      </c>
      <c r="E42" s="21" t="n">
        <v>1.8</v>
      </c>
      <c r="F42" s="15" t="s">
        <v>162</v>
      </c>
      <c r="G42" s="16" t="s">
        <v>275</v>
      </c>
      <c r="H42" s="17" t="n">
        <f aca="false">$E42*稀有度!$C$4</f>
        <v>1.8</v>
      </c>
      <c r="I42" s="17" t="n">
        <f aca="false">$E42*稀有度!$C$5</f>
        <v>2.7</v>
      </c>
      <c r="J42" s="17" t="n">
        <f aca="false">$E42*稀有度!$C$6</f>
        <v>4.05</v>
      </c>
      <c r="K42" s="17" t="n">
        <f aca="false">$E42*稀有度!$C$7</f>
        <v>6.075</v>
      </c>
      <c r="L42" s="17" t="n">
        <f aca="false">$E42*稀有度!$C$8</f>
        <v>9.1125</v>
      </c>
      <c r="M42" s="17" t="n">
        <f aca="false">$E42*稀有度!$C$9</f>
        <v>13.66875</v>
      </c>
      <c r="N42" s="17" t="n">
        <f aca="false">$E42*稀有度!$C$10</f>
        <v>20.503125</v>
      </c>
      <c r="O42" s="17" t="n">
        <f aca="false">$E42*稀有度!$C$11</f>
        <v>30.7546875</v>
      </c>
      <c r="P42" s="17" t="n">
        <f aca="false">$E42*稀有度!$C$12</f>
        <v>46.13203125</v>
      </c>
      <c r="Q42" s="17" t="n">
        <f aca="false">$E42*稀有度!$C$13</f>
        <v>69.198046875</v>
      </c>
    </row>
    <row r="43" customFormat="false" ht="29.85" hidden="false" customHeight="false" outlineLevel="0" collapsed="false">
      <c r="A43" s="15" t="n">
        <v>42</v>
      </c>
      <c r="B43" s="12" t="s">
        <v>30</v>
      </c>
      <c r="C43" s="13" t="s">
        <v>31</v>
      </c>
      <c r="D43" s="15" t="s">
        <v>274</v>
      </c>
      <c r="E43" s="21" t="n">
        <v>1.6</v>
      </c>
      <c r="F43" s="15" t="s">
        <v>162</v>
      </c>
      <c r="G43" s="16" t="s">
        <v>276</v>
      </c>
      <c r="H43" s="17" t="n">
        <f aca="false">$E43*稀有度!$C$4</f>
        <v>1.6</v>
      </c>
      <c r="I43" s="17" t="n">
        <f aca="false">$E43*稀有度!$C$5</f>
        <v>2.4</v>
      </c>
      <c r="J43" s="17" t="n">
        <f aca="false">$E43*稀有度!$C$6</f>
        <v>3.6</v>
      </c>
      <c r="K43" s="17" t="n">
        <f aca="false">$E43*稀有度!$C$7</f>
        <v>5.4</v>
      </c>
      <c r="L43" s="17" t="n">
        <f aca="false">$E43*稀有度!$C$8</f>
        <v>8.1</v>
      </c>
      <c r="M43" s="17" t="n">
        <f aca="false">$E43*稀有度!$C$9</f>
        <v>12.15</v>
      </c>
      <c r="N43" s="17" t="n">
        <f aca="false">$E43*稀有度!$C$10</f>
        <v>18.225</v>
      </c>
      <c r="O43" s="17" t="n">
        <f aca="false">$E43*稀有度!$C$11</f>
        <v>27.3375</v>
      </c>
      <c r="P43" s="17" t="n">
        <f aca="false">$E43*稀有度!$C$12</f>
        <v>41.00625</v>
      </c>
      <c r="Q43" s="17" t="n">
        <f aca="false">$E43*稀有度!$C$13</f>
        <v>61.509375</v>
      </c>
    </row>
    <row r="44" customFormat="false" ht="15" hidden="false" customHeight="false" outlineLevel="0" collapsed="false">
      <c r="A44" s="15" t="n">
        <v>43</v>
      </c>
      <c r="B44" s="12" t="s">
        <v>34</v>
      </c>
      <c r="C44" s="13" t="s">
        <v>35</v>
      </c>
      <c r="D44" s="15" t="s">
        <v>274</v>
      </c>
      <c r="E44" s="21" t="n">
        <v>1.2</v>
      </c>
      <c r="F44" s="15" t="s">
        <v>162</v>
      </c>
      <c r="G44" s="16" t="s">
        <v>277</v>
      </c>
      <c r="H44" s="17" t="n">
        <f aca="false">$E44*稀有度!$C$4</f>
        <v>1.2</v>
      </c>
      <c r="I44" s="17" t="n">
        <f aca="false">$E44*稀有度!$C$5</f>
        <v>1.8</v>
      </c>
      <c r="J44" s="17" t="n">
        <f aca="false">$E44*稀有度!$C$6</f>
        <v>2.7</v>
      </c>
      <c r="K44" s="17" t="n">
        <f aca="false">$E44*稀有度!$C$7</f>
        <v>4.05</v>
      </c>
      <c r="L44" s="17" t="n">
        <f aca="false">$E44*稀有度!$C$8</f>
        <v>6.075</v>
      </c>
      <c r="M44" s="17" t="n">
        <f aca="false">$E44*稀有度!$C$9</f>
        <v>9.1125</v>
      </c>
      <c r="N44" s="17" t="n">
        <f aca="false">$E44*稀有度!$C$10</f>
        <v>13.66875</v>
      </c>
      <c r="O44" s="17" t="n">
        <f aca="false">$E44*稀有度!$C$11</f>
        <v>20.503125</v>
      </c>
      <c r="P44" s="17" t="n">
        <f aca="false">$E44*稀有度!$C$12</f>
        <v>30.7546875</v>
      </c>
      <c r="Q44" s="17" t="n">
        <f aca="false">$E44*稀有度!$C$13</f>
        <v>46.13203125</v>
      </c>
    </row>
    <row r="45" customFormat="false" ht="15" hidden="false" customHeight="false" outlineLevel="0" collapsed="false">
      <c r="A45" s="15" t="n">
        <v>44</v>
      </c>
      <c r="B45" s="12" t="s">
        <v>38</v>
      </c>
      <c r="C45" s="13" t="s">
        <v>39</v>
      </c>
      <c r="D45" s="15" t="s">
        <v>274</v>
      </c>
      <c r="E45" s="21" t="n">
        <v>1.3</v>
      </c>
      <c r="F45" s="15" t="s">
        <v>162</v>
      </c>
      <c r="G45" s="16" t="s">
        <v>278</v>
      </c>
      <c r="H45" s="17" t="n">
        <f aca="false">$E45*稀有度!$C$4</f>
        <v>1.3</v>
      </c>
      <c r="I45" s="17" t="n">
        <f aca="false">$E45*稀有度!$C$5</f>
        <v>1.95</v>
      </c>
      <c r="J45" s="17" t="n">
        <f aca="false">$E45*稀有度!$C$6</f>
        <v>2.925</v>
      </c>
      <c r="K45" s="17" t="n">
        <f aca="false">$E45*稀有度!$C$7</f>
        <v>4.3875</v>
      </c>
      <c r="L45" s="17" t="n">
        <f aca="false">$E45*稀有度!$C$8</f>
        <v>6.58125</v>
      </c>
      <c r="M45" s="17" t="n">
        <f aca="false">$E45*稀有度!$C$9</f>
        <v>9.871875</v>
      </c>
      <c r="N45" s="17" t="n">
        <f aca="false">$E45*稀有度!$C$10</f>
        <v>14.8078125</v>
      </c>
      <c r="O45" s="17" t="n">
        <f aca="false">$E45*稀有度!$C$11</f>
        <v>22.21171875</v>
      </c>
      <c r="P45" s="17" t="n">
        <f aca="false">$E45*稀有度!$C$12</f>
        <v>33.317578125</v>
      </c>
      <c r="Q45" s="17" t="n">
        <f aca="false">$E45*稀有度!$C$13</f>
        <v>49.9763671875</v>
      </c>
    </row>
    <row r="46" customFormat="false" ht="15" hidden="false" customHeight="false" outlineLevel="0" collapsed="false">
      <c r="A46" s="15" t="n">
        <v>45</v>
      </c>
      <c r="B46" s="12" t="s">
        <v>44</v>
      </c>
      <c r="C46" s="13" t="s">
        <v>45</v>
      </c>
      <c r="D46" s="15" t="s">
        <v>274</v>
      </c>
      <c r="E46" s="21" t="n">
        <v>1.4</v>
      </c>
      <c r="F46" s="15" t="s">
        <v>162</v>
      </c>
      <c r="G46" s="16" t="s">
        <v>279</v>
      </c>
      <c r="H46" s="17" t="n">
        <f aca="false">$E46*稀有度!$C$4</f>
        <v>1.4</v>
      </c>
      <c r="I46" s="17" t="n">
        <f aca="false">$E46*稀有度!$C$5</f>
        <v>2.1</v>
      </c>
      <c r="J46" s="17" t="n">
        <f aca="false">$E46*稀有度!$C$6</f>
        <v>3.15</v>
      </c>
      <c r="K46" s="17" t="n">
        <f aca="false">$E46*稀有度!$C$7</f>
        <v>4.725</v>
      </c>
      <c r="L46" s="17" t="n">
        <f aca="false">$E46*稀有度!$C$8</f>
        <v>7.0875</v>
      </c>
      <c r="M46" s="17" t="n">
        <f aca="false">$E46*稀有度!$C$9</f>
        <v>10.63125</v>
      </c>
      <c r="N46" s="17" t="n">
        <f aca="false">$E46*稀有度!$C$10</f>
        <v>15.946875</v>
      </c>
      <c r="O46" s="17" t="n">
        <f aca="false">$E46*稀有度!$C$11</f>
        <v>23.9203125</v>
      </c>
      <c r="P46" s="17" t="n">
        <f aca="false">$E46*稀有度!$C$12</f>
        <v>35.88046875</v>
      </c>
      <c r="Q46" s="17" t="n">
        <f aca="false">$E46*稀有度!$C$13</f>
        <v>53.820703125</v>
      </c>
    </row>
    <row r="47" customFormat="false" ht="15" hidden="false" customHeight="false" outlineLevel="0" collapsed="false">
      <c r="A47" s="15" t="n">
        <v>46</v>
      </c>
      <c r="B47" s="12" t="s">
        <v>48</v>
      </c>
      <c r="C47" s="13" t="s">
        <v>49</v>
      </c>
      <c r="D47" s="15" t="s">
        <v>274</v>
      </c>
      <c r="E47" s="21" t="n">
        <v>1.2</v>
      </c>
      <c r="F47" s="15" t="s">
        <v>162</v>
      </c>
      <c r="G47" s="16" t="s">
        <v>280</v>
      </c>
      <c r="H47" s="17" t="n">
        <f aca="false">$E47*稀有度!$C$4</f>
        <v>1.2</v>
      </c>
      <c r="I47" s="17" t="n">
        <f aca="false">$E47*稀有度!$C$5</f>
        <v>1.8</v>
      </c>
      <c r="J47" s="17" t="n">
        <f aca="false">$E47*稀有度!$C$6</f>
        <v>2.7</v>
      </c>
      <c r="K47" s="17" t="n">
        <f aca="false">$E47*稀有度!$C$7</f>
        <v>4.05</v>
      </c>
      <c r="L47" s="17" t="n">
        <f aca="false">$E47*稀有度!$C$8</f>
        <v>6.075</v>
      </c>
      <c r="M47" s="17" t="n">
        <f aca="false">$E47*稀有度!$C$9</f>
        <v>9.1125</v>
      </c>
      <c r="N47" s="17" t="n">
        <f aca="false">$E47*稀有度!$C$10</f>
        <v>13.66875</v>
      </c>
      <c r="O47" s="17" t="n">
        <f aca="false">$E47*稀有度!$C$11</f>
        <v>20.503125</v>
      </c>
      <c r="P47" s="17" t="n">
        <f aca="false">$E47*稀有度!$C$12</f>
        <v>30.7546875</v>
      </c>
      <c r="Q47" s="17" t="n">
        <f aca="false">$E47*稀有度!$C$13</f>
        <v>46.13203125</v>
      </c>
    </row>
    <row r="48" customFormat="false" ht="15" hidden="false" customHeight="false" outlineLevel="0" collapsed="false">
      <c r="A48" s="15" t="n">
        <v>47</v>
      </c>
      <c r="B48" s="12" t="s">
        <v>52</v>
      </c>
      <c r="C48" s="13" t="s">
        <v>53</v>
      </c>
      <c r="D48" s="15" t="s">
        <v>274</v>
      </c>
      <c r="E48" s="21" t="n">
        <v>1.6</v>
      </c>
      <c r="F48" s="15" t="s">
        <v>162</v>
      </c>
      <c r="G48" s="16" t="s">
        <v>281</v>
      </c>
      <c r="H48" s="17" t="n">
        <f aca="false">$E48*稀有度!$C$4</f>
        <v>1.6</v>
      </c>
      <c r="I48" s="17" t="n">
        <f aca="false">$E48*稀有度!$C$5</f>
        <v>2.4</v>
      </c>
      <c r="J48" s="17" t="n">
        <f aca="false">$E48*稀有度!$C$6</f>
        <v>3.6</v>
      </c>
      <c r="K48" s="17" t="n">
        <f aca="false">$E48*稀有度!$C$7</f>
        <v>5.4</v>
      </c>
      <c r="L48" s="17" t="n">
        <f aca="false">$E48*稀有度!$C$8</f>
        <v>8.1</v>
      </c>
      <c r="M48" s="17" t="n">
        <f aca="false">$E48*稀有度!$C$9</f>
        <v>12.15</v>
      </c>
      <c r="N48" s="17" t="n">
        <f aca="false">$E48*稀有度!$C$10</f>
        <v>18.225</v>
      </c>
      <c r="O48" s="17" t="n">
        <f aca="false">$E48*稀有度!$C$11</f>
        <v>27.3375</v>
      </c>
      <c r="P48" s="17" t="n">
        <f aca="false">$E48*稀有度!$C$12</f>
        <v>41.00625</v>
      </c>
      <c r="Q48" s="17" t="n">
        <f aca="false">$E48*稀有度!$C$13</f>
        <v>61.509375</v>
      </c>
    </row>
    <row r="49" customFormat="false" ht="29.85" hidden="false" customHeight="false" outlineLevel="0" collapsed="false">
      <c r="A49" s="15" t="n">
        <v>48</v>
      </c>
      <c r="B49" s="12" t="s">
        <v>56</v>
      </c>
      <c r="C49" s="13" t="s">
        <v>57</v>
      </c>
      <c r="D49" s="15" t="s">
        <v>274</v>
      </c>
      <c r="E49" s="21" t="n">
        <v>2.6</v>
      </c>
      <c r="F49" s="15" t="s">
        <v>162</v>
      </c>
      <c r="G49" s="16" t="s">
        <v>282</v>
      </c>
      <c r="H49" s="17" t="n">
        <f aca="false">$E49*稀有度!$C$4</f>
        <v>2.6</v>
      </c>
      <c r="I49" s="17" t="n">
        <f aca="false">$E49*稀有度!$C$5</f>
        <v>3.9</v>
      </c>
      <c r="J49" s="17" t="n">
        <f aca="false">$E49*稀有度!$C$6</f>
        <v>5.85</v>
      </c>
      <c r="K49" s="17" t="n">
        <f aca="false">$E49*稀有度!$C$7</f>
        <v>8.775</v>
      </c>
      <c r="L49" s="17" t="n">
        <f aca="false">$E49*稀有度!$C$8</f>
        <v>13.1625</v>
      </c>
      <c r="M49" s="17" t="n">
        <f aca="false">$E49*稀有度!$C$9</f>
        <v>19.74375</v>
      </c>
      <c r="N49" s="17" t="n">
        <f aca="false">$E49*稀有度!$C$10</f>
        <v>29.615625</v>
      </c>
      <c r="O49" s="17" t="n">
        <f aca="false">$E49*稀有度!$C$11</f>
        <v>44.4234375</v>
      </c>
      <c r="P49" s="17" t="n">
        <f aca="false">$E49*稀有度!$C$12</f>
        <v>66.63515625</v>
      </c>
      <c r="Q49" s="17" t="n">
        <f aca="false">$E49*稀有度!$C$13</f>
        <v>99.952734375</v>
      </c>
    </row>
    <row r="50" customFormat="false" ht="15" hidden="false" customHeight="false" outlineLevel="0" collapsed="false">
      <c r="A50" s="15" t="n">
        <v>49</v>
      </c>
      <c r="B50" s="12" t="s">
        <v>62</v>
      </c>
      <c r="C50" s="13" t="s">
        <v>63</v>
      </c>
      <c r="D50" s="15" t="s">
        <v>274</v>
      </c>
      <c r="E50" s="21" t="n">
        <v>1.2</v>
      </c>
      <c r="F50" s="15" t="s">
        <v>162</v>
      </c>
      <c r="G50" s="16" t="s">
        <v>283</v>
      </c>
      <c r="H50" s="17" t="n">
        <f aca="false">$E50*稀有度!$C$4</f>
        <v>1.2</v>
      </c>
      <c r="I50" s="17" t="n">
        <f aca="false">$E50*稀有度!$C$5</f>
        <v>1.8</v>
      </c>
      <c r="J50" s="17" t="n">
        <f aca="false">$E50*稀有度!$C$6</f>
        <v>2.7</v>
      </c>
      <c r="K50" s="17" t="n">
        <f aca="false">$E50*稀有度!$C$7</f>
        <v>4.05</v>
      </c>
      <c r="L50" s="17" t="n">
        <f aca="false">$E50*稀有度!$C$8</f>
        <v>6.075</v>
      </c>
      <c r="M50" s="17" t="n">
        <f aca="false">$E50*稀有度!$C$9</f>
        <v>9.1125</v>
      </c>
      <c r="N50" s="17" t="n">
        <f aca="false">$E50*稀有度!$C$10</f>
        <v>13.66875</v>
      </c>
      <c r="O50" s="17" t="n">
        <f aca="false">$E50*稀有度!$C$11</f>
        <v>20.503125</v>
      </c>
      <c r="P50" s="17" t="n">
        <f aca="false">$E50*稀有度!$C$12</f>
        <v>30.7546875</v>
      </c>
      <c r="Q50" s="17" t="n">
        <f aca="false">$E50*稀有度!$C$13</f>
        <v>46.13203125</v>
      </c>
    </row>
    <row r="51" customFormat="false" ht="29.85" hidden="false" customHeight="false" outlineLevel="0" collapsed="false">
      <c r="A51" s="15" t="n">
        <v>50</v>
      </c>
      <c r="B51" s="12" t="s">
        <v>66</v>
      </c>
      <c r="C51" s="13" t="s">
        <v>67</v>
      </c>
      <c r="D51" s="15" t="s">
        <v>274</v>
      </c>
      <c r="E51" s="21" t="n">
        <v>0.9</v>
      </c>
      <c r="F51" s="15" t="s">
        <v>162</v>
      </c>
      <c r="G51" s="16" t="s">
        <v>284</v>
      </c>
      <c r="H51" s="17" t="n">
        <f aca="false">$E51*稀有度!$C$4</f>
        <v>0.9</v>
      </c>
      <c r="I51" s="17" t="n">
        <f aca="false">$E51*稀有度!$C$5</f>
        <v>1.35</v>
      </c>
      <c r="J51" s="17" t="n">
        <f aca="false">$E51*稀有度!$C$6</f>
        <v>2.025</v>
      </c>
      <c r="K51" s="17" t="n">
        <f aca="false">$E51*稀有度!$C$7</f>
        <v>3.0375</v>
      </c>
      <c r="L51" s="17" t="n">
        <f aca="false">$E51*稀有度!$C$8</f>
        <v>4.55625</v>
      </c>
      <c r="M51" s="17" t="n">
        <f aca="false">$E51*稀有度!$C$9</f>
        <v>6.834375</v>
      </c>
      <c r="N51" s="17" t="n">
        <f aca="false">$E51*稀有度!$C$10</f>
        <v>10.2515625</v>
      </c>
      <c r="O51" s="17" t="n">
        <f aca="false">$E51*稀有度!$C$11</f>
        <v>15.37734375</v>
      </c>
      <c r="P51" s="17" t="n">
        <f aca="false">$E51*稀有度!$C$12</f>
        <v>23.066015625</v>
      </c>
      <c r="Q51" s="17" t="n">
        <f aca="false">$E51*稀有度!$C$13</f>
        <v>34.5990234375</v>
      </c>
    </row>
    <row r="52" customFormat="false" ht="15" hidden="false" customHeight="false" outlineLevel="0" collapsed="false">
      <c r="A52" s="15" t="n">
        <v>51</v>
      </c>
      <c r="B52" s="12" t="s">
        <v>70</v>
      </c>
      <c r="C52" s="13" t="s">
        <v>71</v>
      </c>
      <c r="D52" s="15" t="s">
        <v>274</v>
      </c>
      <c r="E52" s="21" t="n">
        <v>1.3</v>
      </c>
      <c r="F52" s="15" t="s">
        <v>162</v>
      </c>
      <c r="G52" s="16" t="s">
        <v>285</v>
      </c>
      <c r="H52" s="17" t="n">
        <f aca="false">$E52*稀有度!$C$4</f>
        <v>1.3</v>
      </c>
      <c r="I52" s="17" t="n">
        <f aca="false">$E52*稀有度!$C$5</f>
        <v>1.95</v>
      </c>
      <c r="J52" s="17" t="n">
        <f aca="false">$E52*稀有度!$C$6</f>
        <v>2.925</v>
      </c>
      <c r="K52" s="17" t="n">
        <f aca="false">$E52*稀有度!$C$7</f>
        <v>4.3875</v>
      </c>
      <c r="L52" s="17" t="n">
        <f aca="false">$E52*稀有度!$C$8</f>
        <v>6.58125</v>
      </c>
      <c r="M52" s="17" t="n">
        <f aca="false">$E52*稀有度!$C$9</f>
        <v>9.871875</v>
      </c>
      <c r="N52" s="17" t="n">
        <f aca="false">$E52*稀有度!$C$10</f>
        <v>14.8078125</v>
      </c>
      <c r="O52" s="17" t="n">
        <f aca="false">$E52*稀有度!$C$11</f>
        <v>22.21171875</v>
      </c>
      <c r="P52" s="17" t="n">
        <f aca="false">$E52*稀有度!$C$12</f>
        <v>33.317578125</v>
      </c>
      <c r="Q52" s="17" t="n">
        <f aca="false">$E52*稀有度!$C$13</f>
        <v>49.9763671875</v>
      </c>
    </row>
    <row r="53" customFormat="false" ht="15" hidden="false" customHeight="false" outlineLevel="0" collapsed="false">
      <c r="A53" s="15" t="n">
        <v>52</v>
      </c>
      <c r="B53" s="12" t="s">
        <v>75</v>
      </c>
      <c r="C53" s="13" t="s">
        <v>76</v>
      </c>
      <c r="D53" s="15" t="s">
        <v>274</v>
      </c>
      <c r="E53" s="21" t="n">
        <v>1.2</v>
      </c>
      <c r="F53" s="15" t="s">
        <v>162</v>
      </c>
      <c r="G53" s="16" t="s">
        <v>286</v>
      </c>
      <c r="H53" s="17" t="n">
        <f aca="false">$E53*稀有度!$C$4</f>
        <v>1.2</v>
      </c>
      <c r="I53" s="17" t="n">
        <f aca="false">$E53*稀有度!$C$5</f>
        <v>1.8</v>
      </c>
      <c r="J53" s="17" t="n">
        <f aca="false">$E53*稀有度!$C$6</f>
        <v>2.7</v>
      </c>
      <c r="K53" s="17" t="n">
        <f aca="false">$E53*稀有度!$C$7</f>
        <v>4.05</v>
      </c>
      <c r="L53" s="17" t="n">
        <f aca="false">$E53*稀有度!$C$8</f>
        <v>6.075</v>
      </c>
      <c r="M53" s="17" t="n">
        <f aca="false">$E53*稀有度!$C$9</f>
        <v>9.1125</v>
      </c>
      <c r="N53" s="17" t="n">
        <f aca="false">$E53*稀有度!$C$10</f>
        <v>13.66875</v>
      </c>
      <c r="O53" s="17" t="n">
        <f aca="false">$E53*稀有度!$C$11</f>
        <v>20.503125</v>
      </c>
      <c r="P53" s="17" t="n">
        <f aca="false">$E53*稀有度!$C$12</f>
        <v>30.7546875</v>
      </c>
      <c r="Q53" s="17" t="n">
        <f aca="false">$E53*稀有度!$C$13</f>
        <v>46.13203125</v>
      </c>
    </row>
    <row r="54" customFormat="false" ht="29.85" hidden="false" customHeight="false" outlineLevel="0" collapsed="false">
      <c r="A54" s="15" t="n">
        <v>53</v>
      </c>
      <c r="B54" s="12" t="s">
        <v>80</v>
      </c>
      <c r="C54" s="13" t="s">
        <v>81</v>
      </c>
      <c r="D54" s="15" t="s">
        <v>274</v>
      </c>
      <c r="E54" s="21" t="n">
        <v>1.1</v>
      </c>
      <c r="F54" s="15" t="s">
        <v>162</v>
      </c>
      <c r="G54" s="16" t="s">
        <v>287</v>
      </c>
      <c r="H54" s="17" t="n">
        <f aca="false">$E54*稀有度!$C$4</f>
        <v>1.1</v>
      </c>
      <c r="I54" s="17" t="n">
        <f aca="false">$E54*稀有度!$C$5</f>
        <v>1.65</v>
      </c>
      <c r="J54" s="17" t="n">
        <f aca="false">$E54*稀有度!$C$6</f>
        <v>2.475</v>
      </c>
      <c r="K54" s="17" t="n">
        <f aca="false">$E54*稀有度!$C$7</f>
        <v>3.7125</v>
      </c>
      <c r="L54" s="17" t="n">
        <f aca="false">$E54*稀有度!$C$8</f>
        <v>5.56875</v>
      </c>
      <c r="M54" s="17" t="n">
        <f aca="false">$E54*稀有度!$C$9</f>
        <v>8.353125</v>
      </c>
      <c r="N54" s="17" t="n">
        <f aca="false">$E54*稀有度!$C$10</f>
        <v>12.5296875</v>
      </c>
      <c r="O54" s="17" t="n">
        <f aca="false">$E54*稀有度!$C$11</f>
        <v>18.79453125</v>
      </c>
      <c r="P54" s="17" t="n">
        <f aca="false">$E54*稀有度!$C$12</f>
        <v>28.191796875</v>
      </c>
      <c r="Q54" s="17" t="n">
        <f aca="false">$E54*稀有度!$C$13</f>
        <v>42.2876953125</v>
      </c>
    </row>
    <row r="55" customFormat="false" ht="15" hidden="false" customHeight="false" outlineLevel="0" collapsed="false">
      <c r="A55" s="15" t="n">
        <v>54</v>
      </c>
      <c r="B55" s="12" t="s">
        <v>89</v>
      </c>
      <c r="C55" s="13" t="s">
        <v>90</v>
      </c>
      <c r="D55" s="15" t="s">
        <v>274</v>
      </c>
      <c r="E55" s="21" t="n">
        <v>1.5</v>
      </c>
      <c r="F55" s="15" t="s">
        <v>162</v>
      </c>
      <c r="G55" s="16" t="s">
        <v>288</v>
      </c>
      <c r="H55" s="17" t="n">
        <f aca="false">$E55*稀有度!$C$4</f>
        <v>1.5</v>
      </c>
      <c r="I55" s="17" t="n">
        <f aca="false">$E55*稀有度!$C$5</f>
        <v>2.25</v>
      </c>
      <c r="J55" s="17" t="n">
        <f aca="false">$E55*稀有度!$C$6</f>
        <v>3.375</v>
      </c>
      <c r="K55" s="17" t="n">
        <f aca="false">$E55*稀有度!$C$7</f>
        <v>5.0625</v>
      </c>
      <c r="L55" s="17" t="n">
        <f aca="false">$E55*稀有度!$C$8</f>
        <v>7.59375</v>
      </c>
      <c r="M55" s="17" t="n">
        <f aca="false">$E55*稀有度!$C$9</f>
        <v>11.390625</v>
      </c>
      <c r="N55" s="17" t="n">
        <f aca="false">$E55*稀有度!$C$10</f>
        <v>17.0859375</v>
      </c>
      <c r="O55" s="17" t="n">
        <f aca="false">$E55*稀有度!$C$11</f>
        <v>25.62890625</v>
      </c>
      <c r="P55" s="17" t="n">
        <f aca="false">$E55*稀有度!$C$12</f>
        <v>38.443359375</v>
      </c>
      <c r="Q55" s="17" t="n">
        <f aca="false">$E55*稀有度!$C$13</f>
        <v>57.6650390625</v>
      </c>
    </row>
    <row r="56" customFormat="false" ht="15" hidden="false" customHeight="false" outlineLevel="0" collapsed="false">
      <c r="A56" s="15" t="n">
        <v>55</v>
      </c>
      <c r="B56" s="12" t="s">
        <v>94</v>
      </c>
      <c r="C56" s="13" t="s">
        <v>95</v>
      </c>
      <c r="D56" s="15" t="s">
        <v>274</v>
      </c>
      <c r="E56" s="21" t="n">
        <v>1.4</v>
      </c>
      <c r="F56" s="15" t="s">
        <v>162</v>
      </c>
      <c r="G56" s="16" t="s">
        <v>289</v>
      </c>
      <c r="H56" s="17" t="n">
        <f aca="false">$E56*稀有度!$C$4</f>
        <v>1.4</v>
      </c>
      <c r="I56" s="17" t="n">
        <f aca="false">$E56*稀有度!$C$5</f>
        <v>2.1</v>
      </c>
      <c r="J56" s="17" t="n">
        <f aca="false">$E56*稀有度!$C$6</f>
        <v>3.15</v>
      </c>
      <c r="K56" s="17" t="n">
        <f aca="false">$E56*稀有度!$C$7</f>
        <v>4.725</v>
      </c>
      <c r="L56" s="17" t="n">
        <f aca="false">$E56*稀有度!$C$8</f>
        <v>7.0875</v>
      </c>
      <c r="M56" s="17" t="n">
        <f aca="false">$E56*稀有度!$C$9</f>
        <v>10.63125</v>
      </c>
      <c r="N56" s="17" t="n">
        <f aca="false">$E56*稀有度!$C$10</f>
        <v>15.946875</v>
      </c>
      <c r="O56" s="17" t="n">
        <f aca="false">$E56*稀有度!$C$11</f>
        <v>23.9203125</v>
      </c>
      <c r="P56" s="17" t="n">
        <f aca="false">$E56*稀有度!$C$12</f>
        <v>35.88046875</v>
      </c>
      <c r="Q56" s="17" t="n">
        <f aca="false">$E56*稀有度!$C$13</f>
        <v>53.820703125</v>
      </c>
    </row>
    <row r="57" customFormat="false" ht="15" hidden="false" customHeight="false" outlineLevel="0" collapsed="false">
      <c r="A57" s="15" t="n">
        <v>56</v>
      </c>
      <c r="B57" s="12" t="s">
        <v>98</v>
      </c>
      <c r="C57" s="13" t="s">
        <v>99</v>
      </c>
      <c r="D57" s="15" t="s">
        <v>274</v>
      </c>
      <c r="E57" s="21" t="n">
        <v>1.3</v>
      </c>
      <c r="F57" s="15" t="s">
        <v>162</v>
      </c>
      <c r="G57" s="16" t="s">
        <v>290</v>
      </c>
      <c r="H57" s="17" t="n">
        <f aca="false">$E57*稀有度!$C$4</f>
        <v>1.3</v>
      </c>
      <c r="I57" s="17" t="n">
        <f aca="false">$E57*稀有度!$C$5</f>
        <v>1.95</v>
      </c>
      <c r="J57" s="17" t="n">
        <f aca="false">$E57*稀有度!$C$6</f>
        <v>2.925</v>
      </c>
      <c r="K57" s="17" t="n">
        <f aca="false">$E57*稀有度!$C$7</f>
        <v>4.3875</v>
      </c>
      <c r="L57" s="17" t="n">
        <f aca="false">$E57*稀有度!$C$8</f>
        <v>6.58125</v>
      </c>
      <c r="M57" s="17" t="n">
        <f aca="false">$E57*稀有度!$C$9</f>
        <v>9.871875</v>
      </c>
      <c r="N57" s="17" t="n">
        <f aca="false">$E57*稀有度!$C$10</f>
        <v>14.8078125</v>
      </c>
      <c r="O57" s="17" t="n">
        <f aca="false">$E57*稀有度!$C$11</f>
        <v>22.21171875</v>
      </c>
      <c r="P57" s="17" t="n">
        <f aca="false">$E57*稀有度!$C$12</f>
        <v>33.317578125</v>
      </c>
      <c r="Q57" s="17" t="n">
        <f aca="false">$E57*稀有度!$C$13</f>
        <v>49.9763671875</v>
      </c>
    </row>
    <row r="58" customFormat="false" ht="29.85" hidden="false" customHeight="false" outlineLevel="0" collapsed="false">
      <c r="A58" s="15" t="n">
        <v>57</v>
      </c>
      <c r="B58" s="12" t="s">
        <v>102</v>
      </c>
      <c r="C58" s="13" t="s">
        <v>103</v>
      </c>
      <c r="D58" s="15" t="s">
        <v>274</v>
      </c>
      <c r="E58" s="21" t="n">
        <v>1.3</v>
      </c>
      <c r="F58" s="15" t="s">
        <v>162</v>
      </c>
      <c r="G58" s="16" t="s">
        <v>291</v>
      </c>
      <c r="H58" s="17" t="n">
        <f aca="false">$E58*稀有度!$C$4</f>
        <v>1.3</v>
      </c>
      <c r="I58" s="17" t="n">
        <f aca="false">$E58*稀有度!$C$5</f>
        <v>1.95</v>
      </c>
      <c r="J58" s="17" t="n">
        <f aca="false">$E58*稀有度!$C$6</f>
        <v>2.925</v>
      </c>
      <c r="K58" s="17" t="n">
        <f aca="false">$E58*稀有度!$C$7</f>
        <v>4.3875</v>
      </c>
      <c r="L58" s="17" t="n">
        <f aca="false">$E58*稀有度!$C$8</f>
        <v>6.58125</v>
      </c>
      <c r="M58" s="17" t="n">
        <f aca="false">$E58*稀有度!$C$9</f>
        <v>9.871875</v>
      </c>
      <c r="N58" s="17" t="n">
        <f aca="false">$E58*稀有度!$C$10</f>
        <v>14.8078125</v>
      </c>
      <c r="O58" s="17" t="n">
        <f aca="false">$E58*稀有度!$C$11</f>
        <v>22.21171875</v>
      </c>
      <c r="P58" s="17" t="n">
        <f aca="false">$E58*稀有度!$C$12</f>
        <v>33.317578125</v>
      </c>
      <c r="Q58" s="17" t="n">
        <f aca="false">$E58*稀有度!$C$13</f>
        <v>49.9763671875</v>
      </c>
    </row>
    <row r="59" customFormat="false" ht="15" hidden="false" customHeight="false" outlineLevel="0" collapsed="false">
      <c r="A59" s="15" t="n">
        <v>58</v>
      </c>
      <c r="B59" s="12" t="s">
        <v>115</v>
      </c>
      <c r="C59" s="13" t="s">
        <v>116</v>
      </c>
      <c r="D59" s="15" t="s">
        <v>274</v>
      </c>
      <c r="E59" s="21" t="n">
        <v>1.3</v>
      </c>
      <c r="F59" s="15" t="s">
        <v>162</v>
      </c>
      <c r="G59" s="16" t="s">
        <v>292</v>
      </c>
      <c r="H59" s="17" t="n">
        <f aca="false">$E59*稀有度!$C$4</f>
        <v>1.3</v>
      </c>
      <c r="I59" s="17" t="n">
        <f aca="false">$E59*稀有度!$C$5</f>
        <v>1.95</v>
      </c>
      <c r="J59" s="17" t="n">
        <f aca="false">$E59*稀有度!$C$6</f>
        <v>2.925</v>
      </c>
      <c r="K59" s="17" t="n">
        <f aca="false">$E59*稀有度!$C$7</f>
        <v>4.3875</v>
      </c>
      <c r="L59" s="17" t="n">
        <f aca="false">$E59*稀有度!$C$8</f>
        <v>6.58125</v>
      </c>
      <c r="M59" s="17" t="n">
        <f aca="false">$E59*稀有度!$C$9</f>
        <v>9.871875</v>
      </c>
      <c r="N59" s="17" t="n">
        <f aca="false">$E59*稀有度!$C$10</f>
        <v>14.8078125</v>
      </c>
      <c r="O59" s="17" t="n">
        <f aca="false">$E59*稀有度!$C$11</f>
        <v>22.21171875</v>
      </c>
      <c r="P59" s="17" t="n">
        <f aca="false">$E59*稀有度!$C$12</f>
        <v>33.317578125</v>
      </c>
      <c r="Q59" s="17" t="n">
        <f aca="false">$E59*稀有度!$C$13</f>
        <v>49.9763671875</v>
      </c>
    </row>
    <row r="60" customFormat="false" ht="15" hidden="false" customHeight="false" outlineLevel="0" collapsed="false">
      <c r="A60" s="15" t="n">
        <v>59</v>
      </c>
      <c r="B60" s="12" t="s">
        <v>126</v>
      </c>
      <c r="C60" s="13" t="s">
        <v>127</v>
      </c>
      <c r="D60" s="15" t="s">
        <v>274</v>
      </c>
      <c r="E60" s="21" t="n">
        <v>1.5</v>
      </c>
      <c r="F60" s="15" t="s">
        <v>162</v>
      </c>
      <c r="G60" s="16" t="s">
        <v>293</v>
      </c>
      <c r="H60" s="17" t="n">
        <f aca="false">$E60*稀有度!$C$4</f>
        <v>1.5</v>
      </c>
      <c r="I60" s="17" t="n">
        <f aca="false">$E60*稀有度!$C$5</f>
        <v>2.25</v>
      </c>
      <c r="J60" s="17" t="n">
        <f aca="false">$E60*稀有度!$C$6</f>
        <v>3.375</v>
      </c>
      <c r="K60" s="17" t="n">
        <f aca="false">$E60*稀有度!$C$7</f>
        <v>5.0625</v>
      </c>
      <c r="L60" s="17" t="n">
        <f aca="false">$E60*稀有度!$C$8</f>
        <v>7.59375</v>
      </c>
      <c r="M60" s="17" t="n">
        <f aca="false">$E60*稀有度!$C$9</f>
        <v>11.390625</v>
      </c>
      <c r="N60" s="17" t="n">
        <f aca="false">$E60*稀有度!$C$10</f>
        <v>17.0859375</v>
      </c>
      <c r="O60" s="17" t="n">
        <f aca="false">$E60*稀有度!$C$11</f>
        <v>25.62890625</v>
      </c>
      <c r="P60" s="17" t="n">
        <f aca="false">$E60*稀有度!$C$12</f>
        <v>38.443359375</v>
      </c>
      <c r="Q60" s="17" t="n">
        <f aca="false">$E60*稀有度!$C$13</f>
        <v>57.6650390625</v>
      </c>
    </row>
    <row r="61" customFormat="false" ht="15" hidden="false" customHeight="false" outlineLevel="0" collapsed="false">
      <c r="A61" s="15" t="n">
        <v>60</v>
      </c>
      <c r="B61" s="12" t="s">
        <v>129</v>
      </c>
      <c r="C61" s="13" t="s">
        <v>130</v>
      </c>
      <c r="D61" s="15" t="s">
        <v>274</v>
      </c>
      <c r="E61" s="21" t="n">
        <v>1</v>
      </c>
      <c r="F61" s="15" t="s">
        <v>162</v>
      </c>
      <c r="G61" s="16" t="s">
        <v>294</v>
      </c>
      <c r="H61" s="17" t="n">
        <f aca="false">$E61*稀有度!$C$4</f>
        <v>1</v>
      </c>
      <c r="I61" s="17" t="n">
        <f aca="false">$E61*稀有度!$C$5</f>
        <v>1.5</v>
      </c>
      <c r="J61" s="17" t="n">
        <f aca="false">$E61*稀有度!$C$6</f>
        <v>2.25</v>
      </c>
      <c r="K61" s="17" t="n">
        <f aca="false">$E61*稀有度!$C$7</f>
        <v>3.375</v>
      </c>
      <c r="L61" s="17" t="n">
        <f aca="false">$E61*稀有度!$C$8</f>
        <v>5.0625</v>
      </c>
      <c r="M61" s="17" t="n">
        <f aca="false">$E61*稀有度!$C$9</f>
        <v>7.59375</v>
      </c>
      <c r="N61" s="17" t="n">
        <f aca="false">$E61*稀有度!$C$10</f>
        <v>11.390625</v>
      </c>
      <c r="O61" s="17" t="n">
        <f aca="false">$E61*稀有度!$C$11</f>
        <v>17.0859375</v>
      </c>
      <c r="P61" s="17" t="n">
        <f aca="false">$E61*稀有度!$C$12</f>
        <v>25.62890625</v>
      </c>
      <c r="Q61" s="17" t="n">
        <f aca="false">$E61*稀有度!$C$13</f>
        <v>38.443359375</v>
      </c>
    </row>
    <row r="62" customFormat="false" ht="15" hidden="false" customHeight="false" outlineLevel="0" collapsed="false">
      <c r="A62" s="15" t="n">
        <v>61</v>
      </c>
      <c r="B62" s="12" t="s">
        <v>132</v>
      </c>
      <c r="C62" s="13" t="s">
        <v>133</v>
      </c>
      <c r="D62" s="15" t="s">
        <v>274</v>
      </c>
      <c r="E62" s="21" t="n">
        <v>1.2</v>
      </c>
      <c r="F62" s="15" t="s">
        <v>162</v>
      </c>
      <c r="G62" s="16" t="s">
        <v>295</v>
      </c>
      <c r="H62" s="17" t="n">
        <f aca="false">$E62*稀有度!$C$4</f>
        <v>1.2</v>
      </c>
      <c r="I62" s="17" t="n">
        <f aca="false">$E62*稀有度!$C$5</f>
        <v>1.8</v>
      </c>
      <c r="J62" s="17" t="n">
        <f aca="false">$E62*稀有度!$C$6</f>
        <v>2.7</v>
      </c>
      <c r="K62" s="17" t="n">
        <f aca="false">$E62*稀有度!$C$7</f>
        <v>4.05</v>
      </c>
      <c r="L62" s="17" t="n">
        <f aca="false">$E62*稀有度!$C$8</f>
        <v>6.075</v>
      </c>
      <c r="M62" s="17" t="n">
        <f aca="false">$E62*稀有度!$C$9</f>
        <v>9.1125</v>
      </c>
      <c r="N62" s="17" t="n">
        <f aca="false">$E62*稀有度!$C$10</f>
        <v>13.66875</v>
      </c>
      <c r="O62" s="17" t="n">
        <f aca="false">$E62*稀有度!$C$11</f>
        <v>20.503125</v>
      </c>
      <c r="P62" s="17" t="n">
        <f aca="false">$E62*稀有度!$C$12</f>
        <v>30.7546875</v>
      </c>
      <c r="Q62" s="17" t="n">
        <f aca="false">$E62*稀有度!$C$13</f>
        <v>46.13203125</v>
      </c>
    </row>
    <row r="63" customFormat="false" ht="15" hidden="false" customHeight="false" outlineLevel="0" collapsed="false">
      <c r="A63" s="15" t="n">
        <v>62</v>
      </c>
      <c r="B63" s="12" t="s">
        <v>136</v>
      </c>
      <c r="C63" s="13" t="s">
        <v>137</v>
      </c>
      <c r="D63" s="15" t="s">
        <v>274</v>
      </c>
      <c r="E63" s="21" t="n">
        <v>1.5</v>
      </c>
      <c r="F63" s="15" t="s">
        <v>162</v>
      </c>
      <c r="G63" s="16" t="s">
        <v>296</v>
      </c>
      <c r="H63" s="17" t="n">
        <f aca="false">$E63*稀有度!$C$4</f>
        <v>1.5</v>
      </c>
      <c r="I63" s="17" t="n">
        <f aca="false">$E63*稀有度!$C$5</f>
        <v>2.25</v>
      </c>
      <c r="J63" s="17" t="n">
        <f aca="false">$E63*稀有度!$C$6</f>
        <v>3.375</v>
      </c>
      <c r="K63" s="17" t="n">
        <f aca="false">$E63*稀有度!$C$7</f>
        <v>5.0625</v>
      </c>
      <c r="L63" s="17" t="n">
        <f aca="false">$E63*稀有度!$C$8</f>
        <v>7.59375</v>
      </c>
      <c r="M63" s="17" t="n">
        <f aca="false">$E63*稀有度!$C$9</f>
        <v>11.390625</v>
      </c>
      <c r="N63" s="17" t="n">
        <f aca="false">$E63*稀有度!$C$10</f>
        <v>17.0859375</v>
      </c>
      <c r="O63" s="17" t="n">
        <f aca="false">$E63*稀有度!$C$11</f>
        <v>25.62890625</v>
      </c>
      <c r="P63" s="17" t="n">
        <f aca="false">$E63*稀有度!$C$12</f>
        <v>38.443359375</v>
      </c>
      <c r="Q63" s="17" t="n">
        <f aca="false">$E63*稀有度!$C$13</f>
        <v>57.6650390625</v>
      </c>
    </row>
    <row r="65" customFormat="false" ht="15" hidden="false" customHeight="false" outlineLevel="0" collapsed="false">
      <c r="A65" s="20" t="s">
        <v>297</v>
      </c>
    </row>
  </sheetData>
  <autoFilter ref="A1:Q6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5" min="3" style="0" width="16"/>
    <col collapsed="false" customWidth="true" hidden="false" outlineLevel="0" max="6" min="6" style="0" width="48"/>
    <col collapsed="false" customWidth="true" hidden="false" outlineLevel="0" max="7" min="7" style="0" width="10"/>
  </cols>
  <sheetData>
    <row r="1" customFormat="false" ht="30" hidden="false" customHeight="true" outlineLevel="0" collapsed="false">
      <c r="A1" s="1" t="s">
        <v>298</v>
      </c>
      <c r="B1" s="1" t="s">
        <v>299</v>
      </c>
      <c r="C1" s="1" t="s">
        <v>300</v>
      </c>
      <c r="D1" s="1" t="s">
        <v>301</v>
      </c>
      <c r="E1" s="1" t="s">
        <v>302</v>
      </c>
      <c r="F1" s="1" t="s">
        <v>303</v>
      </c>
      <c r="G1" s="1" t="s">
        <v>304</v>
      </c>
    </row>
    <row r="2" customFormat="false" ht="15" hidden="false" customHeight="false" outlineLevel="0" collapsed="false">
      <c r="A2" s="22" t="s">
        <v>29</v>
      </c>
      <c r="B2" s="15" t="n">
        <v>1</v>
      </c>
      <c r="C2" s="23" t="n">
        <v>0</v>
      </c>
      <c r="D2" s="23" t="n">
        <v>3</v>
      </c>
      <c r="E2" s="15" t="str">
        <f aca="false">INDEX(稀有度!$B$4:$B$13,C2+1)&amp;" ~ "&amp;INDEX(稀有度!$B$4:$B$13,D2+1)</f>
        <v>普通 ~ 史诗</v>
      </c>
      <c r="F2" s="19" t="s">
        <v>305</v>
      </c>
      <c r="G2" s="15" t="n">
        <f aca="false">LEN(F2)-LEN(SUBSTITUTE(F2," ",""))+1</f>
        <v>4</v>
      </c>
    </row>
    <row r="3" customFormat="false" ht="15" hidden="false" customHeight="false" outlineLevel="0" collapsed="false">
      <c r="A3" s="22" t="s">
        <v>114</v>
      </c>
      <c r="B3" s="15" t="n">
        <v>3</v>
      </c>
      <c r="C3" s="23" t="n">
        <v>1</v>
      </c>
      <c r="D3" s="23" t="n">
        <v>4</v>
      </c>
      <c r="E3" s="15" t="str">
        <f aca="false">INDEX(稀有度!$B$4:$B$13,C3+1)&amp;" ~ "&amp;INDEX(稀有度!$B$4:$B$13,D3+1)</f>
        <v>罕见 ~ 传说</v>
      </c>
      <c r="F3" s="19" t="s">
        <v>306</v>
      </c>
      <c r="G3" s="15" t="n">
        <f aca="false">LEN(F3)-LEN(SUBSTITUTE(F3," ",""))+1</f>
        <v>6</v>
      </c>
    </row>
    <row r="4" customFormat="false" ht="15" hidden="false" customHeight="false" outlineLevel="0" collapsed="false">
      <c r="A4" s="22" t="s">
        <v>307</v>
      </c>
      <c r="B4" s="15" t="n">
        <v>5</v>
      </c>
      <c r="C4" s="23" t="n">
        <v>1</v>
      </c>
      <c r="D4" s="23" t="n">
        <v>5</v>
      </c>
      <c r="E4" s="15" t="str">
        <f aca="false">INDEX(稀有度!$B$4:$B$13,C4+1)&amp;" ~ "&amp;INDEX(稀有度!$B$4:$B$13,D4+1)</f>
        <v>罕见 ~ 神话</v>
      </c>
      <c r="F4" s="19" t="s">
        <v>308</v>
      </c>
      <c r="G4" s="15" t="n">
        <f aca="false">LEN(F4)-LEN(SUBSTITUTE(F4," ",""))+1</f>
        <v>9</v>
      </c>
    </row>
    <row r="5" customFormat="false" ht="15" hidden="false" customHeight="false" outlineLevel="0" collapsed="false">
      <c r="A5" s="22" t="s">
        <v>309</v>
      </c>
      <c r="B5" s="15" t="n">
        <v>8</v>
      </c>
      <c r="C5" s="23" t="n">
        <v>2</v>
      </c>
      <c r="D5" s="23" t="n">
        <v>6</v>
      </c>
      <c r="E5" s="15" t="str">
        <f aca="false">INDEX(稀有度!$B$4:$B$13,C5+1)&amp;" ~ "&amp;INDEX(稀有度!$B$4:$B$13,D5+1)</f>
        <v>稀有 ~ 超级</v>
      </c>
      <c r="F5" s="19" t="s">
        <v>310</v>
      </c>
      <c r="G5" s="15" t="n">
        <f aca="false">LEN(F5)-LEN(SUBSTITUTE(F5," ",""))+1</f>
        <v>11</v>
      </c>
    </row>
    <row r="6" customFormat="false" ht="15" hidden="false" customHeight="false" outlineLevel="0" collapsed="false">
      <c r="A6" s="22" t="s">
        <v>119</v>
      </c>
      <c r="B6" s="15" t="n">
        <v>4</v>
      </c>
      <c r="C6" s="23" t="n">
        <v>1</v>
      </c>
      <c r="D6" s="23" t="n">
        <v>4</v>
      </c>
      <c r="E6" s="15" t="str">
        <f aca="false">INDEX(稀有度!$B$4:$B$13,C6+1)&amp;" ~ "&amp;INDEX(稀有度!$B$4:$B$13,D6+1)</f>
        <v>罕见 ~ 传说</v>
      </c>
      <c r="F6" s="19" t="s">
        <v>311</v>
      </c>
      <c r="G6" s="15" t="n">
        <f aca="false">LEN(F6)-LEN(SUBSTITUTE(F6," ",""))+1</f>
        <v>8</v>
      </c>
    </row>
    <row r="7" customFormat="false" ht="15" hidden="false" customHeight="false" outlineLevel="0" collapsed="false">
      <c r="A7" s="22" t="s">
        <v>312</v>
      </c>
      <c r="B7" s="15" t="n">
        <v>7</v>
      </c>
      <c r="C7" s="23" t="n">
        <v>2</v>
      </c>
      <c r="D7" s="23" t="n">
        <v>6</v>
      </c>
      <c r="E7" s="15" t="str">
        <f aca="false">INDEX(稀有度!$B$4:$B$13,C7+1)&amp;" ~ "&amp;INDEX(稀有度!$B$4:$B$13,D7+1)</f>
        <v>稀有 ~ 超级</v>
      </c>
      <c r="F7" s="19" t="s">
        <v>313</v>
      </c>
      <c r="G7" s="15" t="n">
        <f aca="false">LEN(F7)-LEN(SUBSTITUTE(F7," ",""))+1</f>
        <v>12</v>
      </c>
    </row>
    <row r="8" customFormat="false" ht="15" hidden="false" customHeight="false" outlineLevel="0" collapsed="false">
      <c r="A8" s="22" t="s">
        <v>314</v>
      </c>
      <c r="B8" s="15" t="n">
        <v>10</v>
      </c>
      <c r="C8" s="23" t="n">
        <v>3</v>
      </c>
      <c r="D8" s="23" t="n">
        <v>7</v>
      </c>
      <c r="E8" s="15" t="str">
        <f aca="false">INDEX(稀有度!$B$4:$B$13,C8+1)&amp;" ~ "&amp;INDEX(稀有度!$B$4:$B$13,D8+1)</f>
        <v>史诗 ~ 究极</v>
      </c>
      <c r="F8" s="19" t="s">
        <v>315</v>
      </c>
      <c r="G8" s="15" t="n">
        <f aca="false">LEN(F8)-LEN(SUBSTITUTE(F8," ",""))+1</f>
        <v>12</v>
      </c>
    </row>
    <row r="9" customFormat="false" ht="15" hidden="false" customHeight="false" outlineLevel="0" collapsed="false">
      <c r="A9" s="22" t="s">
        <v>316</v>
      </c>
      <c r="B9" s="15" t="n">
        <v>12</v>
      </c>
      <c r="C9" s="23" t="n">
        <v>4</v>
      </c>
      <c r="D9" s="23" t="n">
        <v>8</v>
      </c>
      <c r="E9" s="15" t="str">
        <f aca="false">INDEX(稀有度!$B$4:$B$13,C9+1)&amp;" ~ "&amp;INDEX(稀有度!$B$4:$B$13,D9+1)</f>
        <v>传说 ~ 永恒</v>
      </c>
      <c r="F9" s="19" t="s">
        <v>317</v>
      </c>
      <c r="G9" s="15" t="n">
        <f aca="false">LEN(F9)-LEN(SUBSTITUTE(F9," ",""))+1</f>
        <v>14</v>
      </c>
    </row>
    <row r="11" customFormat="false" ht="15" hidden="false" customHeight="false" outlineLevel="0" collapsed="false">
      <c r="A11" s="20" t="s">
        <v>318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5" min="5" style="0" width="3"/>
    <col collapsed="false" customWidth="true" hidden="false" outlineLevel="0" max="6" min="6" style="0" width="26"/>
    <col collapsed="false" customWidth="true" hidden="false" outlineLevel="0" max="7" min="7" style="0" width="10"/>
  </cols>
  <sheetData>
    <row r="1" customFormat="false" ht="17.35" hidden="false" customHeight="false" outlineLevel="0" collapsed="false">
      <c r="A1" s="24" t="s">
        <v>319</v>
      </c>
    </row>
    <row r="3" customFormat="false" ht="15" hidden="false" customHeight="false" outlineLevel="0" collapsed="false">
      <c r="A3" s="1" t="s">
        <v>144</v>
      </c>
      <c r="B3" s="1" t="s">
        <v>320</v>
      </c>
      <c r="C3" s="1" t="s">
        <v>321</v>
      </c>
      <c r="D3" s="1" t="s">
        <v>322</v>
      </c>
      <c r="F3" s="25" t="s">
        <v>323</v>
      </c>
      <c r="G3" s="26" t="n">
        <v>1.5</v>
      </c>
    </row>
    <row r="4" customFormat="false" ht="15" hidden="false" customHeight="false" outlineLevel="0" collapsed="false">
      <c r="A4" s="27" t="n">
        <v>0</v>
      </c>
      <c r="B4" s="28" t="s">
        <v>27</v>
      </c>
      <c r="C4" s="29" t="n">
        <f aca="false">$G$3^A4</f>
        <v>1</v>
      </c>
      <c r="D4" s="30" t="n">
        <v>1</v>
      </c>
      <c r="F4" s="25" t="s">
        <v>324</v>
      </c>
      <c r="G4" s="26" t="n">
        <v>1.5</v>
      </c>
    </row>
    <row r="5" customFormat="false" ht="15" hidden="false" customHeight="false" outlineLevel="0" collapsed="false">
      <c r="A5" s="27" t="n">
        <v>1</v>
      </c>
      <c r="B5" s="31" t="s">
        <v>325</v>
      </c>
      <c r="C5" s="29" t="n">
        <f aca="false">$G$3^A5</f>
        <v>1.5</v>
      </c>
      <c r="D5" s="30" t="n">
        <v>2</v>
      </c>
    </row>
    <row r="6" customFormat="false" ht="15" hidden="false" customHeight="false" outlineLevel="0" collapsed="false">
      <c r="A6" s="27" t="n">
        <v>2</v>
      </c>
      <c r="B6" s="32" t="s">
        <v>326</v>
      </c>
      <c r="C6" s="29" t="n">
        <f aca="false">$G$3^A6</f>
        <v>2.25</v>
      </c>
      <c r="D6" s="30" t="n">
        <v>4</v>
      </c>
      <c r="F6" s="25" t="s">
        <v>327</v>
      </c>
    </row>
    <row r="7" customFormat="false" ht="15" hidden="false" customHeight="false" outlineLevel="0" collapsed="false">
      <c r="A7" s="27" t="n">
        <v>3</v>
      </c>
      <c r="B7" s="33" t="s">
        <v>328</v>
      </c>
      <c r="C7" s="29" t="n">
        <f aca="false">$G$3^A7</f>
        <v>3.375</v>
      </c>
      <c r="D7" s="30" t="n">
        <v>8</v>
      </c>
      <c r="F7" s="34" t="s">
        <v>329</v>
      </c>
    </row>
    <row r="8" customFormat="false" ht="15" hidden="false" customHeight="false" outlineLevel="0" collapsed="false">
      <c r="A8" s="27" t="n">
        <v>4</v>
      </c>
      <c r="B8" s="35" t="s">
        <v>330</v>
      </c>
      <c r="C8" s="29" t="n">
        <f aca="false">$G$3^A8</f>
        <v>5.0625</v>
      </c>
      <c r="D8" s="30" t="n">
        <v>16</v>
      </c>
      <c r="F8" s="34" t="s">
        <v>331</v>
      </c>
    </row>
    <row r="9" customFormat="false" ht="15" hidden="false" customHeight="false" outlineLevel="0" collapsed="false">
      <c r="A9" s="27" t="n">
        <v>5</v>
      </c>
      <c r="B9" s="36" t="s">
        <v>332</v>
      </c>
      <c r="C9" s="29" t="n">
        <f aca="false">$G$3^A9</f>
        <v>7.59375</v>
      </c>
      <c r="D9" s="30" t="n">
        <v>32</v>
      </c>
      <c r="F9" s="34" t="s">
        <v>333</v>
      </c>
    </row>
    <row r="10" customFormat="false" ht="15" hidden="false" customHeight="false" outlineLevel="0" collapsed="false">
      <c r="A10" s="27" t="n">
        <v>6</v>
      </c>
      <c r="B10" s="37" t="s">
        <v>334</v>
      </c>
      <c r="C10" s="29" t="n">
        <f aca="false">$G$3^A10</f>
        <v>11.390625</v>
      </c>
      <c r="D10" s="30" t="n">
        <v>60</v>
      </c>
      <c r="F10" s="34" t="s">
        <v>335</v>
      </c>
    </row>
    <row r="11" customFormat="false" ht="15" hidden="false" customHeight="false" outlineLevel="0" collapsed="false">
      <c r="A11" s="27" t="n">
        <v>7</v>
      </c>
      <c r="B11" s="38" t="s">
        <v>336</v>
      </c>
      <c r="C11" s="29" t="n">
        <f aca="false">$G$3^A11</f>
        <v>17.0859375</v>
      </c>
      <c r="D11" s="30" t="n">
        <v>110</v>
      </c>
      <c r="F11" s="34" t="s">
        <v>337</v>
      </c>
    </row>
    <row r="12" customFormat="false" ht="15" hidden="false" customHeight="false" outlineLevel="0" collapsed="false">
      <c r="A12" s="27" t="n">
        <v>8</v>
      </c>
      <c r="B12" s="39" t="s">
        <v>338</v>
      </c>
      <c r="C12" s="29" t="n">
        <f aca="false">$G$3^A12</f>
        <v>25.62890625</v>
      </c>
      <c r="D12" s="30" t="n">
        <v>200</v>
      </c>
    </row>
    <row r="13" customFormat="false" ht="15" hidden="false" customHeight="false" outlineLevel="0" collapsed="false">
      <c r="A13" s="27" t="n">
        <v>9</v>
      </c>
      <c r="B13" s="40" t="s">
        <v>339</v>
      </c>
      <c r="C13" s="29" t="n">
        <f aca="false">$G$3^A13</f>
        <v>38.443359375</v>
      </c>
      <c r="D13" s="30" t="n">
        <v>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2026-10-25T10:29:48Z</dcterms:created>
  <dc:creator>openpyxl</dc:creator>
  <dc:description/>
  <dc:language>en-US</dc:language>
  <cp:lastModifiedBy/>
  <dcterms:modified xsi:type="dcterms:W3CDTF">2026-10-25T10:29:48Z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